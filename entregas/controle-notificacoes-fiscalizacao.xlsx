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Por empresa" sheetId="3" state="visible" r:id="rId3"/>
    <sheet xmlns:r="http://schemas.openxmlformats.org/officeDocument/2006/relationships" name="Catálogo" sheetId="4" state="visible" r:id="rId4"/>
    <sheet xmlns:r="http://schemas.openxmlformats.org/officeDocument/2006/relationships" name="Notificações" sheetId="5" state="visible" r:id="rId5"/>
    <sheet xmlns:r="http://schemas.openxmlformats.org/officeDocument/2006/relationships" name="Itens" sheetId="6" state="visible" r:id="rId6"/>
  </sheets>
  <definedNames>
    <definedName name="_xlnm._FilterDatabase" localSheetId="2" hidden="1">'Por empresa'!$A$12:$I$312</definedName>
    <definedName name="_xlnm._FilterDatabase" localSheetId="3" hidden="1">'Catálogo'!$A$1:$H$40</definedName>
    <definedName name="_xlnm._FilterDatabase" localSheetId="4" hidden="1">'Notificações'!$A$1:$S$201</definedName>
    <definedName name="_xlnm._FilterDatabase" localSheetId="5" hidden="1">'Itens'!$A$1:$L$501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color rgb="00000000"/>
      <sz val="11"/>
    </font>
    <font>
      <b val="1"/>
      <color rgb="001F3864"/>
      <sz val="11"/>
    </font>
    <font>
      <b val="1"/>
      <color rgb="00FFFFFF"/>
    </font>
    <font>
      <i val="1"/>
      <sz val="9"/>
    </font>
    <font>
      <b val="1"/>
    </font>
    <font>
      <b val="1"/>
      <sz val="12"/>
    </font>
    <font>
      <i val="1"/>
      <color rgb="0080808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DE7F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9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5" borderId="1" pivotButton="0" quotePrefix="0" xfId="0"/>
    <xf numFmtId="0" fontId="8" fillId="0" borderId="0" pivotButton="0" quotePrefix="0" xfId="0"/>
    <xf numFmtId="0" fontId="7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ill>
        <patternFill patternType="solid">
          <fgColor rgb="00DDEBF7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DE7F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Controle de notificações da fiscalização (MTE e MPT)</t>
        </is>
      </c>
    </row>
    <row r="2">
      <c r="A2" s="2" t="inlineStr"/>
    </row>
    <row r="3">
      <c r="A3" s="2" t="inlineStr">
        <is>
          <t>1. Notificações: cada notificação recebida é uma linha, ligada ao cliente.</t>
        </is>
      </c>
    </row>
    <row r="4">
      <c r="A4" s="2" t="inlineStr">
        <is>
          <t>2. Itens: cada documento ou exigência pedido é uma linha, com o código da aba Catálogo.</t>
        </is>
      </c>
    </row>
    <row r="5">
      <c r="A5" s="2" t="inlineStr">
        <is>
          <t xml:space="preserve">   O documento padrão e o responsável aparecem sozinhos a partir do código.</t>
        </is>
      </c>
    </row>
    <row r="6">
      <c r="A6" s="2" t="inlineStr">
        <is>
          <t>3. Catálogo: lista padrão de documentos. Use sempre o mesmo código para o mesmo documento;</t>
        </is>
      </c>
    </row>
    <row r="7">
      <c r="A7" s="2" t="inlineStr">
        <is>
          <t xml:space="preserve">   é isso que permite comparar o que os fiscais mais pedem. Documento novo: acrescente uma linha.</t>
        </is>
      </c>
    </row>
    <row r="8">
      <c r="A8" s="2" t="inlineStr">
        <is>
          <t>3b. Por empresa: escolha a empresa na célula amarela e veja só os itens dela (dá para filtrar por responsável e status).</t>
        </is>
      </c>
    </row>
    <row r="9">
      <c r="A9" s="2" t="inlineStr">
        <is>
          <t xml:space="preserve">   Nas abas Itens e Notificações também há filtro na coluna Cliente (setinha no cabeçalho).</t>
        </is>
      </c>
    </row>
    <row r="10">
      <c r="A10" s="2" t="inlineStr">
        <is>
          <t>4. Painel: ranking dos documentos mais pedidos, divisão por responsável e por cliente (atualiza sozinho).</t>
        </is>
      </c>
    </row>
    <row r="11">
      <c r="A11" s="2" t="inlineStr"/>
    </row>
    <row r="12">
      <c r="A12" s="3" t="inlineStr">
        <is>
          <t>Responsáveis:</t>
        </is>
      </c>
    </row>
    <row r="13">
      <c r="A13" s="2" t="inlineStr">
        <is>
          <t>• Assessoria SST: PGR, PCMSO, ASO, LTCAT, AEP, treinamentos, NR-12 (inventário), análise de acidentes.</t>
        </is>
      </c>
    </row>
    <row r="14">
      <c r="A14" s="2" t="inlineStr">
        <is>
          <t>• Empresa – RH/DP: registro, relação de empregados, ponto (AFD/AEJ/espelho), estagiários, aprendizes, CCT.</t>
        </is>
      </c>
    </row>
    <row r="15">
      <c r="A15" s="2" t="inlineStr">
        <is>
          <t>• Empresa – Financeiro: folha analítica e comprovantes de pagamento.</t>
        </is>
      </c>
    </row>
    <row r="16">
      <c r="A16" s="2" t="inlineStr">
        <is>
          <t>• Empresa – Operação/Manutenção: adequações físicas (máquinas, AVCB, exaustão, NR-24, armazenamento, aterramento).</t>
        </is>
      </c>
    </row>
    <row r="17">
      <c r="A17" s="2" t="inlineStr">
        <is>
          <t>• Compartilhado (Empresa + SST): EPI, CIPA/designado, CAT, comparecimento.</t>
        </is>
      </c>
    </row>
    <row r="18">
      <c r="A18" s="2" t="inlineStr"/>
    </row>
    <row r="19">
      <c r="A19" s="3" t="inlineStr">
        <is>
          <t>Leitura: campos com '(confirmar)' ou '?' vieram de foto ou manuscrito e precisam ser conferidos no original.</t>
        </is>
      </c>
    </row>
    <row r="20">
      <c r="A20" s="2" t="inlineStr">
        <is>
          <t>Status 'A confirmar' = notificação já vencida cujo atendimento não foi informado.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28" customWidth="1" min="3" max="3"/>
    <col width="14" customWidth="1" min="4" max="4"/>
    <col width="12" customWidth="1" min="5" max="5"/>
    <col width="3" customWidth="1" min="6" max="6"/>
    <col width="30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Painel – o que a fiscalização mais pede</t>
        </is>
      </c>
    </row>
    <row r="2">
      <c r="A2" t="inlineStr">
        <is>
          <t>Atualiza sozinho a partir das abas Itens e Notificações.</t>
        </is>
      </c>
    </row>
    <row r="4">
      <c r="A4" s="4" t="inlineStr">
        <is>
          <t>#</t>
        </is>
      </c>
      <c r="B4" s="4" t="inlineStr">
        <is>
          <t>Documento</t>
        </is>
      </c>
      <c r="C4" s="4" t="inlineStr">
        <is>
          <t>Responsável</t>
        </is>
      </c>
      <c r="D4" s="4" t="inlineStr">
        <is>
          <t>Nº de notificações</t>
        </is>
      </c>
      <c r="E4" s="4" t="inlineStr">
        <is>
          <t>Pendentes</t>
        </is>
      </c>
      <c r="G4" s="4" t="inlineStr">
        <is>
          <t>Responsável</t>
        </is>
      </c>
      <c r="H4" s="4" t="inlineStr">
        <is>
          <t>Itens</t>
        </is>
      </c>
      <c r="I4" s="4" t="inlineStr">
        <is>
          <t>Pendentes / a confirmar</t>
        </is>
      </c>
      <c r="J4" s="4" t="inlineStr">
        <is>
          <t>% dos itens</t>
        </is>
      </c>
    </row>
    <row r="5">
      <c r="A5" s="5" t="n">
        <v>1</v>
      </c>
      <c r="B5" s="5">
        <f>INDEX(Catálogo!$B$2:$B$200,MATCH(LARGE(Catálogo!$I$2:$I$200,1),Catálogo!$I$2:$I$200,0))</f>
        <v/>
      </c>
      <c r="C5" s="5">
        <f>INDEX(Catálogo!$D$2:$D$200,MATCH(LARGE(Catálogo!$I$2:$I$200,1),Catálogo!$I$2:$I$200,0))</f>
        <v/>
      </c>
      <c r="D5" s="5">
        <f>INDEX(Catálogo!$F$2:$F$200,MATCH(LARGE(Catálogo!$I$2:$I$200,1),Catálogo!$I$2:$I$200,0))</f>
        <v/>
      </c>
      <c r="E5" s="5">
        <f>INDEX(Catálogo!$H$2:$H$200,MATCH(LARGE(Catálogo!$I$2:$I$200,1),Catálogo!$I$2:$I$200,0))</f>
        <v/>
      </c>
      <c r="G5" s="6" t="inlineStr">
        <is>
          <t>Assessoria SST</t>
        </is>
      </c>
      <c r="H5" s="5">
        <f>COUNTIF(Itens!$F:$F,G5)</f>
        <v/>
      </c>
      <c r="I5" s="5">
        <f>COUNTIFS(Itens!$F:$F,G5,Itens!$I:$I,"Pendente")+COUNTIFS(Itens!$F:$F,G5,Itens!$I:$I,"Em andamento")+COUNTIFS(Itens!$F:$F,G5,Itens!$I:$I,"A confirmar")</f>
        <v/>
      </c>
      <c r="J5" s="7">
        <f>IF(SUM($H$5:$H$9)=0,0,H5/SUM($H$5:$H$9))</f>
        <v/>
      </c>
    </row>
    <row r="6">
      <c r="A6" s="5" t="n">
        <v>2</v>
      </c>
      <c r="B6" s="5">
        <f>INDEX(Catálogo!$B$2:$B$200,MATCH(LARGE(Catálogo!$I$2:$I$200,2),Catálogo!$I$2:$I$200,0))</f>
        <v/>
      </c>
      <c r="C6" s="5">
        <f>INDEX(Catálogo!$D$2:$D$200,MATCH(LARGE(Catálogo!$I$2:$I$200,2),Catálogo!$I$2:$I$200,0))</f>
        <v/>
      </c>
      <c r="D6" s="5">
        <f>INDEX(Catálogo!$F$2:$F$200,MATCH(LARGE(Catálogo!$I$2:$I$200,2),Catálogo!$I$2:$I$200,0))</f>
        <v/>
      </c>
      <c r="E6" s="5">
        <f>INDEX(Catálogo!$H$2:$H$200,MATCH(LARGE(Catálogo!$I$2:$I$200,2),Catálogo!$I$2:$I$200,0))</f>
        <v/>
      </c>
      <c r="G6" s="8" t="inlineStr">
        <is>
          <t>Empresa – RH/DP</t>
        </is>
      </c>
      <c r="H6" s="5">
        <f>COUNTIF(Itens!$F:$F,G6)</f>
        <v/>
      </c>
      <c r="I6" s="5">
        <f>COUNTIFS(Itens!$F:$F,G6,Itens!$I:$I,"Pendente")+COUNTIFS(Itens!$F:$F,G6,Itens!$I:$I,"Em andamento")+COUNTIFS(Itens!$F:$F,G6,Itens!$I:$I,"A confirmar")</f>
        <v/>
      </c>
      <c r="J6" s="7">
        <f>IF(SUM($H$5:$H$9)=0,0,H6/SUM($H$5:$H$9))</f>
        <v/>
      </c>
    </row>
    <row r="7">
      <c r="A7" s="5" t="n">
        <v>3</v>
      </c>
      <c r="B7" s="5">
        <f>INDEX(Catálogo!$B$2:$B$200,MATCH(LARGE(Catálogo!$I$2:$I$200,3),Catálogo!$I$2:$I$200,0))</f>
        <v/>
      </c>
      <c r="C7" s="5">
        <f>INDEX(Catálogo!$D$2:$D$200,MATCH(LARGE(Catálogo!$I$2:$I$200,3),Catálogo!$I$2:$I$200,0))</f>
        <v/>
      </c>
      <c r="D7" s="5">
        <f>INDEX(Catálogo!$F$2:$F$200,MATCH(LARGE(Catálogo!$I$2:$I$200,3),Catálogo!$I$2:$I$200,0))</f>
        <v/>
      </c>
      <c r="E7" s="5">
        <f>INDEX(Catálogo!$H$2:$H$200,MATCH(LARGE(Catálogo!$I$2:$I$200,3),Catálogo!$I$2:$I$200,0))</f>
        <v/>
      </c>
      <c r="G7" s="9" t="inlineStr">
        <is>
          <t>Empresa – Financeiro</t>
        </is>
      </c>
      <c r="H7" s="5">
        <f>COUNTIF(Itens!$F:$F,G7)</f>
        <v/>
      </c>
      <c r="I7" s="5">
        <f>COUNTIFS(Itens!$F:$F,G7,Itens!$I:$I,"Pendente")+COUNTIFS(Itens!$F:$F,G7,Itens!$I:$I,"Em andamento")+COUNTIFS(Itens!$F:$F,G7,Itens!$I:$I,"A confirmar")</f>
        <v/>
      </c>
      <c r="J7" s="7">
        <f>IF(SUM($H$5:$H$9)=0,0,H7/SUM($H$5:$H$9))</f>
        <v/>
      </c>
    </row>
    <row r="8">
      <c r="A8" s="5" t="n">
        <v>4</v>
      </c>
      <c r="B8" s="5">
        <f>INDEX(Catálogo!$B$2:$B$200,MATCH(LARGE(Catálogo!$I$2:$I$200,4),Catálogo!$I$2:$I$200,0))</f>
        <v/>
      </c>
      <c r="C8" s="5">
        <f>INDEX(Catálogo!$D$2:$D$200,MATCH(LARGE(Catálogo!$I$2:$I$200,4),Catálogo!$I$2:$I$200,0))</f>
        <v/>
      </c>
      <c r="D8" s="5">
        <f>INDEX(Catálogo!$F$2:$F$200,MATCH(LARGE(Catálogo!$I$2:$I$200,4),Catálogo!$I$2:$I$200,0))</f>
        <v/>
      </c>
      <c r="E8" s="5">
        <f>INDEX(Catálogo!$H$2:$H$200,MATCH(LARGE(Catálogo!$I$2:$I$200,4),Catálogo!$I$2:$I$200,0))</f>
        <v/>
      </c>
      <c r="G8" s="10" t="inlineStr">
        <is>
          <t>Empresa – Operação/Manutenção</t>
        </is>
      </c>
      <c r="H8" s="5">
        <f>COUNTIF(Itens!$F:$F,G8)</f>
        <v/>
      </c>
      <c r="I8" s="5">
        <f>COUNTIFS(Itens!$F:$F,G8,Itens!$I:$I,"Pendente")+COUNTIFS(Itens!$F:$F,G8,Itens!$I:$I,"Em andamento")+COUNTIFS(Itens!$F:$F,G8,Itens!$I:$I,"A confirmar")</f>
        <v/>
      </c>
      <c r="J8" s="7">
        <f>IF(SUM($H$5:$H$9)=0,0,H8/SUM($H$5:$H$9))</f>
        <v/>
      </c>
    </row>
    <row r="9">
      <c r="A9" s="5" t="n">
        <v>5</v>
      </c>
      <c r="B9" s="5">
        <f>INDEX(Catálogo!$B$2:$B$200,MATCH(LARGE(Catálogo!$I$2:$I$200,5),Catálogo!$I$2:$I$200,0))</f>
        <v/>
      </c>
      <c r="C9" s="5">
        <f>INDEX(Catálogo!$D$2:$D$200,MATCH(LARGE(Catálogo!$I$2:$I$200,5),Catálogo!$I$2:$I$200,0))</f>
        <v/>
      </c>
      <c r="D9" s="5">
        <f>INDEX(Catálogo!$F$2:$F$200,MATCH(LARGE(Catálogo!$I$2:$I$200,5),Catálogo!$I$2:$I$200,0))</f>
        <v/>
      </c>
      <c r="E9" s="5">
        <f>INDEX(Catálogo!$H$2:$H$200,MATCH(LARGE(Catálogo!$I$2:$I$200,5),Catálogo!$I$2:$I$200,0))</f>
        <v/>
      </c>
      <c r="G9" s="11" t="inlineStr">
        <is>
          <t>Compartilhado (Empresa + SST)</t>
        </is>
      </c>
      <c r="H9" s="5">
        <f>COUNTIF(Itens!$F:$F,G9)</f>
        <v/>
      </c>
      <c r="I9" s="5">
        <f>COUNTIFS(Itens!$F:$F,G9,Itens!$I:$I,"Pendente")+COUNTIFS(Itens!$F:$F,G9,Itens!$I:$I,"Em andamento")+COUNTIFS(Itens!$F:$F,G9,Itens!$I:$I,"A confirmar")</f>
        <v/>
      </c>
      <c r="J9" s="7">
        <f>IF(SUM($H$5:$H$9)=0,0,H9/SUM($H$5:$H$9))</f>
        <v/>
      </c>
    </row>
    <row r="10">
      <c r="A10" s="5" t="n">
        <v>6</v>
      </c>
      <c r="B10" s="5">
        <f>INDEX(Catálogo!$B$2:$B$200,MATCH(LARGE(Catálogo!$I$2:$I$200,6),Catálogo!$I$2:$I$200,0))</f>
        <v/>
      </c>
      <c r="C10" s="5">
        <f>INDEX(Catálogo!$D$2:$D$200,MATCH(LARGE(Catálogo!$I$2:$I$200,6),Catálogo!$I$2:$I$200,0))</f>
        <v/>
      </c>
      <c r="D10" s="5">
        <f>INDEX(Catálogo!$F$2:$F$200,MATCH(LARGE(Catálogo!$I$2:$I$200,6),Catálogo!$I$2:$I$200,0))</f>
        <v/>
      </c>
      <c r="E10" s="5">
        <f>INDEX(Catálogo!$H$2:$H$200,MATCH(LARGE(Catálogo!$I$2:$I$200,6),Catálogo!$I$2:$I$200,0))</f>
        <v/>
      </c>
    </row>
    <row r="11">
      <c r="A11" s="5" t="n">
        <v>7</v>
      </c>
      <c r="B11" s="5">
        <f>INDEX(Catálogo!$B$2:$B$200,MATCH(LARGE(Catálogo!$I$2:$I$200,7),Catálogo!$I$2:$I$200,0))</f>
        <v/>
      </c>
      <c r="C11" s="5">
        <f>INDEX(Catálogo!$D$2:$D$200,MATCH(LARGE(Catálogo!$I$2:$I$200,7),Catálogo!$I$2:$I$200,0))</f>
        <v/>
      </c>
      <c r="D11" s="5">
        <f>INDEX(Catálogo!$F$2:$F$200,MATCH(LARGE(Catálogo!$I$2:$I$200,7),Catálogo!$I$2:$I$200,0))</f>
        <v/>
      </c>
      <c r="E11" s="5">
        <f>INDEX(Catálogo!$H$2:$H$200,MATCH(LARGE(Catálogo!$I$2:$I$200,7),Catálogo!$I$2:$I$200,0))</f>
        <v/>
      </c>
      <c r="G11" s="12" t="inlineStr">
        <is>
          <t>Cliente novo: escreva o nome numa linha vazia abaixo (vale para o filtro da aba 'Por empresa').</t>
        </is>
      </c>
    </row>
    <row r="12">
      <c r="A12" s="5" t="n">
        <v>8</v>
      </c>
      <c r="B12" s="5">
        <f>INDEX(Catálogo!$B$2:$B$200,MATCH(LARGE(Catálogo!$I$2:$I$200,8),Catálogo!$I$2:$I$200,0))</f>
        <v/>
      </c>
      <c r="C12" s="5">
        <f>INDEX(Catálogo!$D$2:$D$200,MATCH(LARGE(Catálogo!$I$2:$I$200,8),Catálogo!$I$2:$I$200,0))</f>
        <v/>
      </c>
      <c r="D12" s="5">
        <f>INDEX(Catálogo!$F$2:$F$200,MATCH(LARGE(Catálogo!$I$2:$I$200,8),Catálogo!$I$2:$I$200,0))</f>
        <v/>
      </c>
      <c r="E12" s="5">
        <f>INDEX(Catálogo!$H$2:$H$200,MATCH(LARGE(Catálogo!$I$2:$I$200,8),Catálogo!$I$2:$I$200,0))</f>
        <v/>
      </c>
      <c r="G12" s="4" t="inlineStr">
        <is>
          <t>Cliente</t>
        </is>
      </c>
      <c r="H12" s="4" t="inlineStr">
        <is>
          <t>Notificações</t>
        </is>
      </c>
      <c r="I12" s="4" t="inlineStr">
        <is>
          <t>Itens</t>
        </is>
      </c>
      <c r="J12" s="4" t="inlineStr">
        <is>
          <t>Pendentes / a confirmar</t>
        </is>
      </c>
    </row>
    <row r="13">
      <c r="A13" s="5" t="n">
        <v>9</v>
      </c>
      <c r="B13" s="5">
        <f>INDEX(Catálogo!$B$2:$B$200,MATCH(LARGE(Catálogo!$I$2:$I$200,9),Catálogo!$I$2:$I$200,0))</f>
        <v/>
      </c>
      <c r="C13" s="5">
        <f>INDEX(Catálogo!$D$2:$D$200,MATCH(LARGE(Catálogo!$I$2:$I$200,9),Catálogo!$I$2:$I$200,0))</f>
        <v/>
      </c>
      <c r="D13" s="5">
        <f>INDEX(Catálogo!$F$2:$F$200,MATCH(LARGE(Catálogo!$I$2:$I$200,9),Catálogo!$I$2:$I$200,0))</f>
        <v/>
      </c>
      <c r="E13" s="5">
        <f>INDEX(Catálogo!$H$2:$H$200,MATCH(LARGE(Catálogo!$I$2:$I$200,9),Catálogo!$I$2:$I$200,0))</f>
        <v/>
      </c>
      <c r="G13" s="5" t="inlineStr">
        <is>
          <t>Rede Total (Mix Concórdia)</t>
        </is>
      </c>
      <c r="H13" s="5">
        <f>COUNTIF(Notificações!$B:$B,G13)</f>
        <v/>
      </c>
      <c r="I13" s="5">
        <f>COUNTIF(Itens!$B:$B,G13)</f>
        <v/>
      </c>
      <c r="J13" s="5">
        <f>SUMIF(Notificações!$B:$B,G13,Notificações!$R:$R)</f>
        <v/>
      </c>
    </row>
    <row r="14">
      <c r="A14" s="5" t="n">
        <v>10</v>
      </c>
      <c r="B14" s="5">
        <f>INDEX(Catálogo!$B$2:$B$200,MATCH(LARGE(Catálogo!$I$2:$I$200,10),Catálogo!$I$2:$I$200,0))</f>
        <v/>
      </c>
      <c r="C14" s="5">
        <f>INDEX(Catálogo!$D$2:$D$200,MATCH(LARGE(Catálogo!$I$2:$I$200,10),Catálogo!$I$2:$I$200,0))</f>
        <v/>
      </c>
      <c r="D14" s="5">
        <f>INDEX(Catálogo!$F$2:$F$200,MATCH(LARGE(Catálogo!$I$2:$I$200,10),Catálogo!$I$2:$I$200,0))</f>
        <v/>
      </c>
      <c r="E14" s="5">
        <f>INDEX(Catálogo!$H$2:$H$200,MATCH(LARGE(Catálogo!$I$2:$I$200,10),Catálogo!$I$2:$I$200,0))</f>
        <v/>
      </c>
      <c r="G14" s="5" t="inlineStr">
        <is>
          <t>Mix Boca do Rio</t>
        </is>
      </c>
      <c r="H14" s="5">
        <f>COUNTIF(Notificações!$B:$B,G14)</f>
        <v/>
      </c>
      <c r="I14" s="5">
        <f>COUNTIF(Itens!$B:$B,G14)</f>
        <v/>
      </c>
      <c r="J14" s="5">
        <f>SUMIF(Notificações!$B:$B,G14,Notificações!$R:$R)</f>
        <v/>
      </c>
    </row>
    <row r="15">
      <c r="A15" s="5" t="n">
        <v>11</v>
      </c>
      <c r="B15" s="5">
        <f>INDEX(Catálogo!$B$2:$B$200,MATCH(LARGE(Catálogo!$I$2:$I$200,11),Catálogo!$I$2:$I$200,0))</f>
        <v/>
      </c>
      <c r="C15" s="5">
        <f>INDEX(Catálogo!$D$2:$D$200,MATCH(LARGE(Catálogo!$I$2:$I$200,11),Catálogo!$I$2:$I$200,0))</f>
        <v/>
      </c>
      <c r="D15" s="5">
        <f>INDEX(Catálogo!$F$2:$F$200,MATCH(LARGE(Catálogo!$I$2:$I$200,11),Catálogo!$I$2:$I$200,0))</f>
        <v/>
      </c>
      <c r="E15" s="5">
        <f>INDEX(Catálogo!$H$2:$H$200,MATCH(LARGE(Catálogo!$I$2:$I$200,11),Catálogo!$I$2:$I$200,0))</f>
        <v/>
      </c>
      <c r="G15" s="5" t="inlineStr">
        <is>
          <t>Mix Bahia – Lauro de Freitas</t>
        </is>
      </c>
      <c r="H15" s="5">
        <f>COUNTIF(Notificações!$B:$B,G15)</f>
        <v/>
      </c>
      <c r="I15" s="5">
        <f>COUNTIF(Itens!$B:$B,G15)</f>
        <v/>
      </c>
      <c r="J15" s="5">
        <f>SUMIF(Notificações!$B:$B,G15,Notificações!$R:$R)</f>
        <v/>
      </c>
    </row>
    <row r="16">
      <c r="A16" s="5" t="n">
        <v>12</v>
      </c>
      <c r="B16" s="5">
        <f>INDEX(Catálogo!$B$2:$B$200,MATCH(LARGE(Catálogo!$I$2:$I$200,12),Catálogo!$I$2:$I$200,0))</f>
        <v/>
      </c>
      <c r="C16" s="5">
        <f>INDEX(Catálogo!$D$2:$D$200,MATCH(LARGE(Catálogo!$I$2:$I$200,12),Catálogo!$I$2:$I$200,0))</f>
        <v/>
      </c>
      <c r="D16" s="5">
        <f>INDEX(Catálogo!$F$2:$F$200,MATCH(LARGE(Catálogo!$I$2:$I$200,12),Catálogo!$I$2:$I$200,0))</f>
        <v/>
      </c>
      <c r="E16" s="5">
        <f>INDEX(Catálogo!$H$2:$H$200,MATCH(LARGE(Catálogo!$I$2:$I$200,12),Catálogo!$I$2:$I$200,0))</f>
        <v/>
      </c>
      <c r="G16" s="5" t="inlineStr">
        <is>
          <t>Super Diesel</t>
        </is>
      </c>
      <c r="H16" s="5">
        <f>COUNTIF(Notificações!$B:$B,G16)</f>
        <v/>
      </c>
      <c r="I16" s="5">
        <f>COUNTIF(Itens!$B:$B,G16)</f>
        <v/>
      </c>
      <c r="J16" s="5">
        <f>SUMIF(Notificações!$B:$B,G16,Notificações!$R:$R)</f>
        <v/>
      </c>
    </row>
    <row r="17">
      <c r="A17" s="5" t="n">
        <v>13</v>
      </c>
      <c r="B17" s="5">
        <f>INDEX(Catálogo!$B$2:$B$200,MATCH(LARGE(Catálogo!$I$2:$I$200,13),Catálogo!$I$2:$I$200,0))</f>
        <v/>
      </c>
      <c r="C17" s="5">
        <f>INDEX(Catálogo!$D$2:$D$200,MATCH(LARGE(Catálogo!$I$2:$I$200,13),Catálogo!$I$2:$I$200,0))</f>
        <v/>
      </c>
      <c r="D17" s="5">
        <f>INDEX(Catálogo!$F$2:$F$200,MATCH(LARGE(Catálogo!$I$2:$I$200,13),Catálogo!$I$2:$I$200,0))</f>
        <v/>
      </c>
      <c r="E17" s="5">
        <f>INDEX(Catálogo!$H$2:$H$200,MATCH(LARGE(Catálogo!$I$2:$I$200,13),Catálogo!$I$2:$I$200,0))</f>
        <v/>
      </c>
      <c r="G17" s="5" t="n"/>
      <c r="H17" s="5">
        <f>IF(G17="","",COUNTIF(Notificações!$B:$B,G17))</f>
        <v/>
      </c>
      <c r="I17" s="5">
        <f>IF(G17="","",COUNTIF(Itens!$B:$B,G17))</f>
        <v/>
      </c>
      <c r="J17" s="5">
        <f>IF(G17="","",SUMIF(Notificações!$B:$B,G17,Notificações!$R:$R))</f>
        <v/>
      </c>
    </row>
    <row r="18">
      <c r="A18" s="5" t="n">
        <v>14</v>
      </c>
      <c r="B18" s="5">
        <f>INDEX(Catálogo!$B$2:$B$200,MATCH(LARGE(Catálogo!$I$2:$I$200,14),Catálogo!$I$2:$I$200,0))</f>
        <v/>
      </c>
      <c r="C18" s="5">
        <f>INDEX(Catálogo!$D$2:$D$200,MATCH(LARGE(Catálogo!$I$2:$I$200,14),Catálogo!$I$2:$I$200,0))</f>
        <v/>
      </c>
      <c r="D18" s="5">
        <f>INDEX(Catálogo!$F$2:$F$200,MATCH(LARGE(Catálogo!$I$2:$I$200,14),Catálogo!$I$2:$I$200,0))</f>
        <v/>
      </c>
      <c r="E18" s="5">
        <f>INDEX(Catálogo!$H$2:$H$200,MATCH(LARGE(Catálogo!$I$2:$I$200,14),Catálogo!$I$2:$I$200,0))</f>
        <v/>
      </c>
      <c r="G18" s="5" t="n"/>
      <c r="H18" s="5">
        <f>IF(G18="","",COUNTIF(Notificações!$B:$B,G18))</f>
        <v/>
      </c>
      <c r="I18" s="5">
        <f>IF(G18="","",COUNTIF(Itens!$B:$B,G18))</f>
        <v/>
      </c>
      <c r="J18" s="5">
        <f>IF(G18="","",SUMIF(Notificações!$B:$B,G18,Notificações!$R:$R))</f>
        <v/>
      </c>
    </row>
    <row r="19">
      <c r="A19" s="5" t="n">
        <v>15</v>
      </c>
      <c r="B19" s="5">
        <f>INDEX(Catálogo!$B$2:$B$200,MATCH(LARGE(Catálogo!$I$2:$I$200,15),Catálogo!$I$2:$I$200,0))</f>
        <v/>
      </c>
      <c r="C19" s="5">
        <f>INDEX(Catálogo!$D$2:$D$200,MATCH(LARGE(Catálogo!$I$2:$I$200,15),Catálogo!$I$2:$I$200,0))</f>
        <v/>
      </c>
      <c r="D19" s="5">
        <f>INDEX(Catálogo!$F$2:$F$200,MATCH(LARGE(Catálogo!$I$2:$I$200,15),Catálogo!$I$2:$I$200,0))</f>
        <v/>
      </c>
      <c r="E19" s="5">
        <f>INDEX(Catálogo!$H$2:$H$200,MATCH(LARGE(Catálogo!$I$2:$I$200,15),Catálogo!$I$2:$I$200,0))</f>
        <v/>
      </c>
      <c r="G19" s="5" t="n"/>
      <c r="H19" s="5">
        <f>IF(G19="","",COUNTIF(Notificações!$B:$B,G19))</f>
        <v/>
      </c>
      <c r="I19" s="5">
        <f>IF(G19="","",COUNTIF(Itens!$B:$B,G19))</f>
        <v/>
      </c>
      <c r="J19" s="5">
        <f>IF(G19="","",SUMIF(Notificações!$B:$B,G19,Notificações!$R:$R))</f>
        <v/>
      </c>
    </row>
    <row r="20">
      <c r="A20" s="12" t="inlineStr">
        <is>
          <t>Ranking pelo nº de notificações em que o documento aparece. Códigos novos no Catálogo entram sozinhos (até 199 códigos).</t>
        </is>
      </c>
      <c r="G20" s="5" t="n"/>
      <c r="H20" s="5">
        <f>IF(G20="","",COUNTIF(Notificações!$B:$B,G20))</f>
        <v/>
      </c>
      <c r="I20" s="5">
        <f>IF(G20="","",COUNTIF(Itens!$B:$B,G20))</f>
        <v/>
      </c>
      <c r="J20" s="5">
        <f>IF(G20="","",SUMIF(Notificações!$B:$B,G20,Notificações!$R:$R))</f>
        <v/>
      </c>
    </row>
    <row r="21">
      <c r="G21" s="5" t="n"/>
      <c r="H21" s="5">
        <f>IF(G21="","",COUNTIF(Notificações!$B:$B,G21))</f>
        <v/>
      </c>
      <c r="I21" s="5">
        <f>IF(G21="","",COUNTIF(Itens!$B:$B,G21))</f>
        <v/>
      </c>
      <c r="J21" s="5">
        <f>IF(G21="","",SUMIF(Notificações!$B:$B,G21,Notificações!$R:$R))</f>
        <v/>
      </c>
    </row>
    <row r="22">
      <c r="G22" s="5" t="n"/>
      <c r="H22" s="5">
        <f>IF(G22="","",COUNTIF(Notificações!$B:$B,G22))</f>
        <v/>
      </c>
      <c r="I22" s="5">
        <f>IF(G22="","",COUNTIF(Itens!$B:$B,G22))</f>
        <v/>
      </c>
      <c r="J22" s="5">
        <f>IF(G22="","",SUMIF(Notificações!$B:$B,G22,Notificações!$R:$R))</f>
        <v/>
      </c>
    </row>
    <row r="23">
      <c r="G23" s="5" t="n"/>
      <c r="H23" s="5">
        <f>IF(G23="","",COUNTIF(Notificações!$B:$B,G23))</f>
        <v/>
      </c>
      <c r="I23" s="5">
        <f>IF(G23="","",COUNTIF(Itens!$B:$B,G23))</f>
        <v/>
      </c>
      <c r="J23" s="5">
        <f>IF(G23="","",SUMIF(Notificações!$B:$B,G23,Notificações!$R:$R))</f>
        <v/>
      </c>
    </row>
    <row r="24">
      <c r="G24" s="5" t="n"/>
      <c r="H24" s="5">
        <f>IF(G24="","",COUNTIF(Notificações!$B:$B,G24))</f>
        <v/>
      </c>
      <c r="I24" s="5">
        <f>IF(G24="","",COUNTIF(Itens!$B:$B,G24))</f>
        <v/>
      </c>
      <c r="J24" s="5">
        <f>IF(G24="","",SUMIF(Notificações!$B:$B,G24,Notificações!$R:$R))</f>
        <v/>
      </c>
    </row>
    <row r="25">
      <c r="G25" s="5" t="n"/>
      <c r="H25" s="5">
        <f>IF(G25="","",COUNTIF(Notificações!$B:$B,G25))</f>
        <v/>
      </c>
      <c r="I25" s="5">
        <f>IF(G25="","",COUNTIF(Itens!$B:$B,G25))</f>
        <v/>
      </c>
      <c r="J25" s="5">
        <f>IF(G25="","",SUMIF(Notificações!$B:$B,G25,Notificações!$R:$R))</f>
        <v/>
      </c>
    </row>
    <row r="26">
      <c r="G26" s="5" t="n"/>
      <c r="H26" s="5">
        <f>IF(G26="","",COUNTIF(Notificações!$B:$B,G26))</f>
        <v/>
      </c>
      <c r="I26" s="5">
        <f>IF(G26="","",COUNTIF(Itens!$B:$B,G26))</f>
        <v/>
      </c>
      <c r="J26" s="5">
        <f>IF(G26="","",SUMIF(Notificações!$B:$B,G26,Notificações!$R:$R))</f>
        <v/>
      </c>
    </row>
    <row r="27">
      <c r="G27" s="5" t="n"/>
      <c r="H27" s="5">
        <f>IF(G27="","",COUNTIF(Notificações!$B:$B,G27))</f>
        <v/>
      </c>
      <c r="I27" s="5">
        <f>IF(G27="","",COUNTIF(Itens!$B:$B,G27))</f>
        <v/>
      </c>
      <c r="J27" s="5">
        <f>IF(G27="","",SUMIF(Notificações!$B:$B,G27,Notificações!$R:$R))</f>
        <v/>
      </c>
    </row>
    <row r="28">
      <c r="G28" s="5" t="n"/>
      <c r="H28" s="5">
        <f>IF(G28="","",COUNTIF(Notificações!$B:$B,G28))</f>
        <v/>
      </c>
      <c r="I28" s="5">
        <f>IF(G28="","",COUNTIF(Itens!$B:$B,G28))</f>
        <v/>
      </c>
      <c r="J28" s="5">
        <f>IF(G28="","",SUMIF(Notificações!$B:$B,G28,Notificações!$R:$R))</f>
        <v/>
      </c>
    </row>
    <row r="29">
      <c r="G29" s="5" t="n"/>
      <c r="H29" s="5">
        <f>IF(G29="","",COUNTIF(Notificações!$B:$B,G29))</f>
        <v/>
      </c>
      <c r="I29" s="5">
        <f>IF(G29="","",COUNTIF(Itens!$B:$B,G29))</f>
        <v/>
      </c>
      <c r="J29" s="5">
        <f>IF(G29="","",SUMIF(Notificações!$B:$B,G29,Notificações!$R:$R))</f>
        <v/>
      </c>
    </row>
    <row r="30">
      <c r="G30" s="5" t="n"/>
      <c r="H30" s="5">
        <f>IF(G30="","",COUNTIF(Notificações!$B:$B,G30))</f>
        <v/>
      </c>
      <c r="I30" s="5">
        <f>IF(G30="","",COUNTIF(Itens!$B:$B,G30))</f>
        <v/>
      </c>
      <c r="J30" s="5">
        <f>IF(G30="","",SUMIF(Notificações!$B:$B,G30,Notificações!$R:$R))</f>
        <v/>
      </c>
    </row>
    <row r="31">
      <c r="G31" s="5" t="n"/>
      <c r="H31" s="5">
        <f>IF(G31="","",COUNTIF(Notificações!$B:$B,G31))</f>
        <v/>
      </c>
      <c r="I31" s="5">
        <f>IF(G31="","",COUNTIF(Itens!$B:$B,G31))</f>
        <v/>
      </c>
      <c r="J31" s="5">
        <f>IF(G31="","",SUMIF(Notificações!$B:$B,G31,Notificações!$R:$R))</f>
        <v/>
      </c>
    </row>
    <row r="32">
      <c r="G32" s="5" t="n"/>
      <c r="H32" s="5">
        <f>IF(G32="","",COUNTIF(Notificações!$B:$B,G32))</f>
        <v/>
      </c>
      <c r="I32" s="5">
        <f>IF(G32="","",COUNTIF(Itens!$B:$B,G32))</f>
        <v/>
      </c>
      <c r="J32" s="5">
        <f>IF(G32="","",SUMIF(Notificações!$B:$B,G32,Notificações!$R:$R))</f>
        <v/>
      </c>
    </row>
  </sheetData>
  <conditionalFormatting sqref="C5:C19">
    <cfRule type="cellIs" priority="1" operator="equal" dxfId="0">
      <formula>"Assessoria SST"</formula>
    </cfRule>
    <cfRule type="cellIs" priority="2" operator="equal" dxfId="1">
      <formula>"Empresa – RH/DP"</formula>
    </cfRule>
    <cfRule type="cellIs" priority="3" operator="equal" dxfId="2">
      <formula>"Empresa – Financeiro"</formula>
    </cfRule>
    <cfRule type="cellIs" priority="4" operator="equal" dxfId="3">
      <formula>"Empresa – Operação/Manutenção"</formula>
    </cfRule>
    <cfRule type="cellIs" priority="5" operator="equal" dxfId="4">
      <formula>"Compartilhado (Empresa + SST)"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4" customWidth="1" min="3" max="3"/>
    <col width="28" customWidth="1" min="4" max="4"/>
    <col width="60" customWidth="1" min="5" max="5"/>
    <col width="16" customWidth="1" min="6" max="6"/>
    <col width="20" customWidth="1" min="7" max="7"/>
    <col width="12" customWidth="1" min="8" max="8"/>
    <col width="40" customWidth="1" min="9" max="9"/>
  </cols>
  <sheetData>
    <row r="1">
      <c r="A1" s="1" t="inlineStr">
        <is>
          <t>Itens por empresa</t>
        </is>
      </c>
    </row>
    <row r="2">
      <c r="A2" s="13" t="inlineStr">
        <is>
          <t>Empresa:</t>
        </is>
      </c>
      <c r="B2" s="14" t="inlineStr">
        <is>
          <t>Rede Total (Mix Concórdia)</t>
        </is>
      </c>
      <c r="C2" s="15" t="inlineStr">
        <is>
          <t>◄ escolha a empresa na lista</t>
        </is>
      </c>
    </row>
    <row r="4">
      <c r="A4" s="4" t="inlineStr">
        <is>
          <t>Notificações</t>
        </is>
      </c>
      <c r="B4" s="4" t="inlineStr">
        <is>
          <t>Itens pedidos</t>
        </is>
      </c>
      <c r="C4" s="4" t="inlineStr">
        <is>
          <t>Pendentes / a confirmar</t>
        </is>
      </c>
      <c r="D4" s="4" t="inlineStr">
        <is>
          <t>Entregues</t>
        </is>
      </c>
      <c r="F4" s="4" t="inlineStr">
        <is>
          <t>Responsável</t>
        </is>
      </c>
      <c r="G4" s="4" t="inlineStr">
        <is>
          <t>Itens</t>
        </is>
      </c>
      <c r="H4" s="4" t="inlineStr">
        <is>
          <t>Pendentes</t>
        </is>
      </c>
    </row>
    <row r="5">
      <c r="A5" s="16">
        <f>COUNTIF(Notificações!$B:$B,$B$2)</f>
        <v/>
      </c>
      <c r="B5" s="16">
        <f>COUNTIF(Itens!$B:$B,$B$2)</f>
        <v/>
      </c>
      <c r="C5" s="16">
        <f>COUNTIFS(Itens!$B:$B,$B$2,Itens!$I:$I,"Pendente")+COUNTIFS(Itens!$B:$B,$B$2,Itens!$I:$I,"Em andamento")+COUNTIFS(Itens!$B:$B,$B$2,Itens!$I:$I,"A confirmar")</f>
        <v/>
      </c>
      <c r="D5" s="16">
        <f>COUNTIFS(Itens!$B:$B,$B$2,Itens!$I:$I,"Entregue")</f>
        <v/>
      </c>
      <c r="F5" s="6" t="inlineStr">
        <is>
          <t>Assessoria SST</t>
        </is>
      </c>
      <c r="G5" s="5">
        <f>COUNTIFS(Itens!$B:$B,$B$2,Itens!$F:$F,F5)</f>
        <v/>
      </c>
      <c r="H5" s="5">
        <f>COUNTIFS(Itens!$B:$B,$B$2,Itens!$F:$F,F5,Itens!$I:$I,"Pendente")+COUNTIFS(Itens!$B:$B,$B$2,Itens!$F:$F,F5,Itens!$I:$I,"Em andamento")+COUNTIFS(Itens!$B:$B,$B$2,Itens!$F:$F,F5,Itens!$I:$I,"A confirmar")</f>
        <v/>
      </c>
    </row>
    <row r="6">
      <c r="F6" s="8" t="inlineStr">
        <is>
          <t>Empresa – RH/DP</t>
        </is>
      </c>
      <c r="G6" s="5">
        <f>COUNTIFS(Itens!$B:$B,$B$2,Itens!$F:$F,F6)</f>
        <v/>
      </c>
      <c r="H6" s="5">
        <f>COUNTIFS(Itens!$B:$B,$B$2,Itens!$F:$F,F6,Itens!$I:$I,"Pendente")+COUNTIFS(Itens!$B:$B,$B$2,Itens!$F:$F,F6,Itens!$I:$I,"Em andamento")+COUNTIFS(Itens!$B:$B,$B$2,Itens!$F:$F,F6,Itens!$I:$I,"A confirmar")</f>
        <v/>
      </c>
    </row>
    <row r="7">
      <c r="F7" s="9" t="inlineStr">
        <is>
          <t>Empresa – Financeiro</t>
        </is>
      </c>
      <c r="G7" s="5">
        <f>COUNTIFS(Itens!$B:$B,$B$2,Itens!$F:$F,F7)</f>
        <v/>
      </c>
      <c r="H7" s="5">
        <f>COUNTIFS(Itens!$B:$B,$B$2,Itens!$F:$F,F7,Itens!$I:$I,"Pendente")+COUNTIFS(Itens!$B:$B,$B$2,Itens!$F:$F,F7,Itens!$I:$I,"Em andamento")+COUNTIFS(Itens!$B:$B,$B$2,Itens!$F:$F,F7,Itens!$I:$I,"A confirmar")</f>
        <v/>
      </c>
    </row>
    <row r="8">
      <c r="F8" s="10" t="inlineStr">
        <is>
          <t>Empresa – Operação/Manutenção</t>
        </is>
      </c>
      <c r="G8" s="5">
        <f>COUNTIFS(Itens!$B:$B,$B$2,Itens!$F:$F,F8)</f>
        <v/>
      </c>
      <c r="H8" s="5">
        <f>COUNTIFS(Itens!$B:$B,$B$2,Itens!$F:$F,F8,Itens!$I:$I,"Pendente")+COUNTIFS(Itens!$B:$B,$B$2,Itens!$F:$F,F8,Itens!$I:$I,"Em andamento")+COUNTIFS(Itens!$B:$B,$B$2,Itens!$F:$F,F8,Itens!$I:$I,"A confirmar")</f>
        <v/>
      </c>
    </row>
    <row r="9">
      <c r="F9" s="11" t="inlineStr">
        <is>
          <t>Compartilhado (Empresa + SST)</t>
        </is>
      </c>
      <c r="G9" s="5">
        <f>COUNTIFS(Itens!$B:$B,$B$2,Itens!$F:$F,F9)</f>
        <v/>
      </c>
      <c r="H9" s="5">
        <f>COUNTIFS(Itens!$B:$B,$B$2,Itens!$F:$F,F9,Itens!$I:$I,"Pendente")+COUNTIFS(Itens!$B:$B,$B$2,Itens!$F:$F,F9,Itens!$I:$I,"Em andamento")+COUNTIFS(Itens!$B:$B,$B$2,Itens!$F:$F,F9,Itens!$I:$I,"A confirmar")</f>
        <v/>
      </c>
    </row>
    <row r="12">
      <c r="A12" s="4" t="inlineStr">
        <is>
          <t>Notificação</t>
        </is>
      </c>
      <c r="B12" s="4" t="inlineStr">
        <is>
          <t>Item nº</t>
        </is>
      </c>
      <c r="C12" s="4" t="inlineStr">
        <is>
          <t>Documento padrão</t>
        </is>
      </c>
      <c r="D12" s="4" t="inlineStr">
        <is>
          <t>Responsável</t>
        </is>
      </c>
      <c r="E12" s="4" t="inlineStr">
        <is>
          <t>Texto da notificação</t>
        </is>
      </c>
      <c r="F12" s="4" t="inlineStr">
        <is>
          <t>Status</t>
        </is>
      </c>
      <c r="G12" s="4" t="inlineStr">
        <is>
          <t>Período pedido</t>
        </is>
      </c>
      <c r="H12" s="4" t="inlineStr">
        <is>
          <t>Data de entrega</t>
        </is>
      </c>
      <c r="I12" s="4" t="inlineStr">
        <is>
          <t>Observações</t>
        </is>
      </c>
    </row>
    <row r="13">
      <c r="A13" s="17">
        <f>IFERROR(IF(INDEX(Itens!$A$2:$A$501,MATCH(1,Itens!$M$2:$M$501,0))="","",INDEX(Itens!$A$2:$A$501,MATCH(1,Itens!$M$2:$M$501,0))),"")</f>
        <v/>
      </c>
      <c r="B13" s="17">
        <f>IFERROR(IF(INDEX(Itens!$C$2:$C$501,MATCH(1,Itens!$M$2:$M$501,0))="","",INDEX(Itens!$C$2:$C$501,MATCH(1,Itens!$M$2:$M$501,0))),"")</f>
        <v/>
      </c>
      <c r="C13" s="17">
        <f>IFERROR(IF(INDEX(Itens!$E$2:$E$501,MATCH(1,Itens!$M$2:$M$501,0))="","",INDEX(Itens!$E$2:$E$501,MATCH(1,Itens!$M$2:$M$501,0))),"")</f>
        <v/>
      </c>
      <c r="D13" s="17">
        <f>IFERROR(IF(INDEX(Itens!$F$2:$F$501,MATCH(1,Itens!$M$2:$M$501,0))="","",INDEX(Itens!$F$2:$F$501,MATCH(1,Itens!$M$2:$M$501,0))),"")</f>
        <v/>
      </c>
      <c r="E13" s="17">
        <f>IFERROR(IF(INDEX(Itens!$G$2:$G$501,MATCH(1,Itens!$M$2:$M$501,0))="","",INDEX(Itens!$G$2:$G$501,MATCH(1,Itens!$M$2:$M$501,0))),"")</f>
        <v/>
      </c>
      <c r="F13" s="17">
        <f>IFERROR(IF(INDEX(Itens!$I$2:$I$501,MATCH(1,Itens!$M$2:$M$501,0))="","",INDEX(Itens!$I$2:$I$501,MATCH(1,Itens!$M$2:$M$501,0))),"")</f>
        <v/>
      </c>
      <c r="G13" s="17">
        <f>IFERROR(IF(INDEX(Itens!$J$2:$J$501,MATCH(1,Itens!$M$2:$M$501,0))="","",INDEX(Itens!$J$2:$J$501,MATCH(1,Itens!$M$2:$M$501,0))),"")</f>
        <v/>
      </c>
      <c r="H13" s="18">
        <f>IFERROR(IF(INDEX(Itens!$K$2:$K$501,MATCH(1,Itens!$M$2:$M$501,0))="","",INDEX(Itens!$K$2:$K$501,MATCH(1,Itens!$M$2:$M$501,0))),"")</f>
        <v/>
      </c>
      <c r="I13" s="17">
        <f>IFERROR(IF(INDEX(Itens!$L$2:$L$501,MATCH(1,Itens!$M$2:$M$501,0))="","",INDEX(Itens!$L$2:$L$501,MATCH(1,Itens!$M$2:$M$501,0))),"")</f>
        <v/>
      </c>
    </row>
    <row r="14">
      <c r="A14" s="17">
        <f>IFERROR(IF(INDEX(Itens!$A$2:$A$501,MATCH(2,Itens!$M$2:$M$501,0))="","",INDEX(Itens!$A$2:$A$501,MATCH(2,Itens!$M$2:$M$501,0))),"")</f>
        <v/>
      </c>
      <c r="B14" s="17">
        <f>IFERROR(IF(INDEX(Itens!$C$2:$C$501,MATCH(2,Itens!$M$2:$M$501,0))="","",INDEX(Itens!$C$2:$C$501,MATCH(2,Itens!$M$2:$M$501,0))),"")</f>
        <v/>
      </c>
      <c r="C14" s="17">
        <f>IFERROR(IF(INDEX(Itens!$E$2:$E$501,MATCH(2,Itens!$M$2:$M$501,0))="","",INDEX(Itens!$E$2:$E$501,MATCH(2,Itens!$M$2:$M$501,0))),"")</f>
        <v/>
      </c>
      <c r="D14" s="17">
        <f>IFERROR(IF(INDEX(Itens!$F$2:$F$501,MATCH(2,Itens!$M$2:$M$501,0))="","",INDEX(Itens!$F$2:$F$501,MATCH(2,Itens!$M$2:$M$501,0))),"")</f>
        <v/>
      </c>
      <c r="E14" s="17">
        <f>IFERROR(IF(INDEX(Itens!$G$2:$G$501,MATCH(2,Itens!$M$2:$M$501,0))="","",INDEX(Itens!$G$2:$G$501,MATCH(2,Itens!$M$2:$M$501,0))),"")</f>
        <v/>
      </c>
      <c r="F14" s="17">
        <f>IFERROR(IF(INDEX(Itens!$I$2:$I$501,MATCH(2,Itens!$M$2:$M$501,0))="","",INDEX(Itens!$I$2:$I$501,MATCH(2,Itens!$M$2:$M$501,0))),"")</f>
        <v/>
      </c>
      <c r="G14" s="17">
        <f>IFERROR(IF(INDEX(Itens!$J$2:$J$501,MATCH(2,Itens!$M$2:$M$501,0))="","",INDEX(Itens!$J$2:$J$501,MATCH(2,Itens!$M$2:$M$501,0))),"")</f>
        <v/>
      </c>
      <c r="H14" s="18">
        <f>IFERROR(IF(INDEX(Itens!$K$2:$K$501,MATCH(2,Itens!$M$2:$M$501,0))="","",INDEX(Itens!$K$2:$K$501,MATCH(2,Itens!$M$2:$M$501,0))),"")</f>
        <v/>
      </c>
      <c r="I14" s="17">
        <f>IFERROR(IF(INDEX(Itens!$L$2:$L$501,MATCH(2,Itens!$M$2:$M$501,0))="","",INDEX(Itens!$L$2:$L$501,MATCH(2,Itens!$M$2:$M$501,0))),"")</f>
        <v/>
      </c>
    </row>
    <row r="15">
      <c r="A15" s="17">
        <f>IFERROR(IF(INDEX(Itens!$A$2:$A$501,MATCH(3,Itens!$M$2:$M$501,0))="","",INDEX(Itens!$A$2:$A$501,MATCH(3,Itens!$M$2:$M$501,0))),"")</f>
        <v/>
      </c>
      <c r="B15" s="17">
        <f>IFERROR(IF(INDEX(Itens!$C$2:$C$501,MATCH(3,Itens!$M$2:$M$501,0))="","",INDEX(Itens!$C$2:$C$501,MATCH(3,Itens!$M$2:$M$501,0))),"")</f>
        <v/>
      </c>
      <c r="C15" s="17">
        <f>IFERROR(IF(INDEX(Itens!$E$2:$E$501,MATCH(3,Itens!$M$2:$M$501,0))="","",INDEX(Itens!$E$2:$E$501,MATCH(3,Itens!$M$2:$M$501,0))),"")</f>
        <v/>
      </c>
      <c r="D15" s="17">
        <f>IFERROR(IF(INDEX(Itens!$F$2:$F$501,MATCH(3,Itens!$M$2:$M$501,0))="","",INDEX(Itens!$F$2:$F$501,MATCH(3,Itens!$M$2:$M$501,0))),"")</f>
        <v/>
      </c>
      <c r="E15" s="17">
        <f>IFERROR(IF(INDEX(Itens!$G$2:$G$501,MATCH(3,Itens!$M$2:$M$501,0))="","",INDEX(Itens!$G$2:$G$501,MATCH(3,Itens!$M$2:$M$501,0))),"")</f>
        <v/>
      </c>
      <c r="F15" s="17">
        <f>IFERROR(IF(INDEX(Itens!$I$2:$I$501,MATCH(3,Itens!$M$2:$M$501,0))="","",INDEX(Itens!$I$2:$I$501,MATCH(3,Itens!$M$2:$M$501,0))),"")</f>
        <v/>
      </c>
      <c r="G15" s="17">
        <f>IFERROR(IF(INDEX(Itens!$J$2:$J$501,MATCH(3,Itens!$M$2:$M$501,0))="","",INDEX(Itens!$J$2:$J$501,MATCH(3,Itens!$M$2:$M$501,0))),"")</f>
        <v/>
      </c>
      <c r="H15" s="18">
        <f>IFERROR(IF(INDEX(Itens!$K$2:$K$501,MATCH(3,Itens!$M$2:$M$501,0))="","",INDEX(Itens!$K$2:$K$501,MATCH(3,Itens!$M$2:$M$501,0))),"")</f>
        <v/>
      </c>
      <c r="I15" s="17">
        <f>IFERROR(IF(INDEX(Itens!$L$2:$L$501,MATCH(3,Itens!$M$2:$M$501,0))="","",INDEX(Itens!$L$2:$L$501,MATCH(3,Itens!$M$2:$M$501,0))),"")</f>
        <v/>
      </c>
    </row>
    <row r="16">
      <c r="A16" s="17">
        <f>IFERROR(IF(INDEX(Itens!$A$2:$A$501,MATCH(4,Itens!$M$2:$M$501,0))="","",INDEX(Itens!$A$2:$A$501,MATCH(4,Itens!$M$2:$M$501,0))),"")</f>
        <v/>
      </c>
      <c r="B16" s="17">
        <f>IFERROR(IF(INDEX(Itens!$C$2:$C$501,MATCH(4,Itens!$M$2:$M$501,0))="","",INDEX(Itens!$C$2:$C$501,MATCH(4,Itens!$M$2:$M$501,0))),"")</f>
        <v/>
      </c>
      <c r="C16" s="17">
        <f>IFERROR(IF(INDEX(Itens!$E$2:$E$501,MATCH(4,Itens!$M$2:$M$501,0))="","",INDEX(Itens!$E$2:$E$501,MATCH(4,Itens!$M$2:$M$501,0))),"")</f>
        <v/>
      </c>
      <c r="D16" s="17">
        <f>IFERROR(IF(INDEX(Itens!$F$2:$F$501,MATCH(4,Itens!$M$2:$M$501,0))="","",INDEX(Itens!$F$2:$F$501,MATCH(4,Itens!$M$2:$M$501,0))),"")</f>
        <v/>
      </c>
      <c r="E16" s="17">
        <f>IFERROR(IF(INDEX(Itens!$G$2:$G$501,MATCH(4,Itens!$M$2:$M$501,0))="","",INDEX(Itens!$G$2:$G$501,MATCH(4,Itens!$M$2:$M$501,0))),"")</f>
        <v/>
      </c>
      <c r="F16" s="17">
        <f>IFERROR(IF(INDEX(Itens!$I$2:$I$501,MATCH(4,Itens!$M$2:$M$501,0))="","",INDEX(Itens!$I$2:$I$501,MATCH(4,Itens!$M$2:$M$501,0))),"")</f>
        <v/>
      </c>
      <c r="G16" s="17">
        <f>IFERROR(IF(INDEX(Itens!$J$2:$J$501,MATCH(4,Itens!$M$2:$M$501,0))="","",INDEX(Itens!$J$2:$J$501,MATCH(4,Itens!$M$2:$M$501,0))),"")</f>
        <v/>
      </c>
      <c r="H16" s="18">
        <f>IFERROR(IF(INDEX(Itens!$K$2:$K$501,MATCH(4,Itens!$M$2:$M$501,0))="","",INDEX(Itens!$K$2:$K$501,MATCH(4,Itens!$M$2:$M$501,0))),"")</f>
        <v/>
      </c>
      <c r="I16" s="17">
        <f>IFERROR(IF(INDEX(Itens!$L$2:$L$501,MATCH(4,Itens!$M$2:$M$501,0))="","",INDEX(Itens!$L$2:$L$501,MATCH(4,Itens!$M$2:$M$501,0))),"")</f>
        <v/>
      </c>
    </row>
    <row r="17">
      <c r="A17" s="17">
        <f>IFERROR(IF(INDEX(Itens!$A$2:$A$501,MATCH(5,Itens!$M$2:$M$501,0))="","",INDEX(Itens!$A$2:$A$501,MATCH(5,Itens!$M$2:$M$501,0))),"")</f>
        <v/>
      </c>
      <c r="B17" s="17">
        <f>IFERROR(IF(INDEX(Itens!$C$2:$C$501,MATCH(5,Itens!$M$2:$M$501,0))="","",INDEX(Itens!$C$2:$C$501,MATCH(5,Itens!$M$2:$M$501,0))),"")</f>
        <v/>
      </c>
      <c r="C17" s="17">
        <f>IFERROR(IF(INDEX(Itens!$E$2:$E$501,MATCH(5,Itens!$M$2:$M$501,0))="","",INDEX(Itens!$E$2:$E$501,MATCH(5,Itens!$M$2:$M$501,0))),"")</f>
        <v/>
      </c>
      <c r="D17" s="17">
        <f>IFERROR(IF(INDEX(Itens!$F$2:$F$501,MATCH(5,Itens!$M$2:$M$501,0))="","",INDEX(Itens!$F$2:$F$501,MATCH(5,Itens!$M$2:$M$501,0))),"")</f>
        <v/>
      </c>
      <c r="E17" s="17">
        <f>IFERROR(IF(INDEX(Itens!$G$2:$G$501,MATCH(5,Itens!$M$2:$M$501,0))="","",INDEX(Itens!$G$2:$G$501,MATCH(5,Itens!$M$2:$M$501,0))),"")</f>
        <v/>
      </c>
      <c r="F17" s="17">
        <f>IFERROR(IF(INDEX(Itens!$I$2:$I$501,MATCH(5,Itens!$M$2:$M$501,0))="","",INDEX(Itens!$I$2:$I$501,MATCH(5,Itens!$M$2:$M$501,0))),"")</f>
        <v/>
      </c>
      <c r="G17" s="17">
        <f>IFERROR(IF(INDEX(Itens!$J$2:$J$501,MATCH(5,Itens!$M$2:$M$501,0))="","",INDEX(Itens!$J$2:$J$501,MATCH(5,Itens!$M$2:$M$501,0))),"")</f>
        <v/>
      </c>
      <c r="H17" s="18">
        <f>IFERROR(IF(INDEX(Itens!$K$2:$K$501,MATCH(5,Itens!$M$2:$M$501,0))="","",INDEX(Itens!$K$2:$K$501,MATCH(5,Itens!$M$2:$M$501,0))),"")</f>
        <v/>
      </c>
      <c r="I17" s="17">
        <f>IFERROR(IF(INDEX(Itens!$L$2:$L$501,MATCH(5,Itens!$M$2:$M$501,0))="","",INDEX(Itens!$L$2:$L$501,MATCH(5,Itens!$M$2:$M$501,0))),"")</f>
        <v/>
      </c>
    </row>
    <row r="18">
      <c r="A18" s="17">
        <f>IFERROR(IF(INDEX(Itens!$A$2:$A$501,MATCH(6,Itens!$M$2:$M$501,0))="","",INDEX(Itens!$A$2:$A$501,MATCH(6,Itens!$M$2:$M$501,0))),"")</f>
        <v/>
      </c>
      <c r="B18" s="17">
        <f>IFERROR(IF(INDEX(Itens!$C$2:$C$501,MATCH(6,Itens!$M$2:$M$501,0))="","",INDEX(Itens!$C$2:$C$501,MATCH(6,Itens!$M$2:$M$501,0))),"")</f>
        <v/>
      </c>
      <c r="C18" s="17">
        <f>IFERROR(IF(INDEX(Itens!$E$2:$E$501,MATCH(6,Itens!$M$2:$M$501,0))="","",INDEX(Itens!$E$2:$E$501,MATCH(6,Itens!$M$2:$M$501,0))),"")</f>
        <v/>
      </c>
      <c r="D18" s="17">
        <f>IFERROR(IF(INDEX(Itens!$F$2:$F$501,MATCH(6,Itens!$M$2:$M$501,0))="","",INDEX(Itens!$F$2:$F$501,MATCH(6,Itens!$M$2:$M$501,0))),"")</f>
        <v/>
      </c>
      <c r="E18" s="17">
        <f>IFERROR(IF(INDEX(Itens!$G$2:$G$501,MATCH(6,Itens!$M$2:$M$501,0))="","",INDEX(Itens!$G$2:$G$501,MATCH(6,Itens!$M$2:$M$501,0))),"")</f>
        <v/>
      </c>
      <c r="F18" s="17">
        <f>IFERROR(IF(INDEX(Itens!$I$2:$I$501,MATCH(6,Itens!$M$2:$M$501,0))="","",INDEX(Itens!$I$2:$I$501,MATCH(6,Itens!$M$2:$M$501,0))),"")</f>
        <v/>
      </c>
      <c r="G18" s="17">
        <f>IFERROR(IF(INDEX(Itens!$J$2:$J$501,MATCH(6,Itens!$M$2:$M$501,0))="","",INDEX(Itens!$J$2:$J$501,MATCH(6,Itens!$M$2:$M$501,0))),"")</f>
        <v/>
      </c>
      <c r="H18" s="18">
        <f>IFERROR(IF(INDEX(Itens!$K$2:$K$501,MATCH(6,Itens!$M$2:$M$501,0))="","",INDEX(Itens!$K$2:$K$501,MATCH(6,Itens!$M$2:$M$501,0))),"")</f>
        <v/>
      </c>
      <c r="I18" s="17">
        <f>IFERROR(IF(INDEX(Itens!$L$2:$L$501,MATCH(6,Itens!$M$2:$M$501,0))="","",INDEX(Itens!$L$2:$L$501,MATCH(6,Itens!$M$2:$M$501,0))),"")</f>
        <v/>
      </c>
    </row>
    <row r="19">
      <c r="A19" s="17">
        <f>IFERROR(IF(INDEX(Itens!$A$2:$A$501,MATCH(7,Itens!$M$2:$M$501,0))="","",INDEX(Itens!$A$2:$A$501,MATCH(7,Itens!$M$2:$M$501,0))),"")</f>
        <v/>
      </c>
      <c r="B19" s="17">
        <f>IFERROR(IF(INDEX(Itens!$C$2:$C$501,MATCH(7,Itens!$M$2:$M$501,0))="","",INDEX(Itens!$C$2:$C$501,MATCH(7,Itens!$M$2:$M$501,0))),"")</f>
        <v/>
      </c>
      <c r="C19" s="17">
        <f>IFERROR(IF(INDEX(Itens!$E$2:$E$501,MATCH(7,Itens!$M$2:$M$501,0))="","",INDEX(Itens!$E$2:$E$501,MATCH(7,Itens!$M$2:$M$501,0))),"")</f>
        <v/>
      </c>
      <c r="D19" s="17">
        <f>IFERROR(IF(INDEX(Itens!$F$2:$F$501,MATCH(7,Itens!$M$2:$M$501,0))="","",INDEX(Itens!$F$2:$F$501,MATCH(7,Itens!$M$2:$M$501,0))),"")</f>
        <v/>
      </c>
      <c r="E19" s="17">
        <f>IFERROR(IF(INDEX(Itens!$G$2:$G$501,MATCH(7,Itens!$M$2:$M$501,0))="","",INDEX(Itens!$G$2:$G$501,MATCH(7,Itens!$M$2:$M$501,0))),"")</f>
        <v/>
      </c>
      <c r="F19" s="17">
        <f>IFERROR(IF(INDEX(Itens!$I$2:$I$501,MATCH(7,Itens!$M$2:$M$501,0))="","",INDEX(Itens!$I$2:$I$501,MATCH(7,Itens!$M$2:$M$501,0))),"")</f>
        <v/>
      </c>
      <c r="G19" s="17">
        <f>IFERROR(IF(INDEX(Itens!$J$2:$J$501,MATCH(7,Itens!$M$2:$M$501,0))="","",INDEX(Itens!$J$2:$J$501,MATCH(7,Itens!$M$2:$M$501,0))),"")</f>
        <v/>
      </c>
      <c r="H19" s="18">
        <f>IFERROR(IF(INDEX(Itens!$K$2:$K$501,MATCH(7,Itens!$M$2:$M$501,0))="","",INDEX(Itens!$K$2:$K$501,MATCH(7,Itens!$M$2:$M$501,0))),"")</f>
        <v/>
      </c>
      <c r="I19" s="17">
        <f>IFERROR(IF(INDEX(Itens!$L$2:$L$501,MATCH(7,Itens!$M$2:$M$501,0))="","",INDEX(Itens!$L$2:$L$501,MATCH(7,Itens!$M$2:$M$501,0))),"")</f>
        <v/>
      </c>
    </row>
    <row r="20">
      <c r="A20" s="17">
        <f>IFERROR(IF(INDEX(Itens!$A$2:$A$501,MATCH(8,Itens!$M$2:$M$501,0))="","",INDEX(Itens!$A$2:$A$501,MATCH(8,Itens!$M$2:$M$501,0))),"")</f>
        <v/>
      </c>
      <c r="B20" s="17">
        <f>IFERROR(IF(INDEX(Itens!$C$2:$C$501,MATCH(8,Itens!$M$2:$M$501,0))="","",INDEX(Itens!$C$2:$C$501,MATCH(8,Itens!$M$2:$M$501,0))),"")</f>
        <v/>
      </c>
      <c r="C20" s="17">
        <f>IFERROR(IF(INDEX(Itens!$E$2:$E$501,MATCH(8,Itens!$M$2:$M$501,0))="","",INDEX(Itens!$E$2:$E$501,MATCH(8,Itens!$M$2:$M$501,0))),"")</f>
        <v/>
      </c>
      <c r="D20" s="17">
        <f>IFERROR(IF(INDEX(Itens!$F$2:$F$501,MATCH(8,Itens!$M$2:$M$501,0))="","",INDEX(Itens!$F$2:$F$501,MATCH(8,Itens!$M$2:$M$501,0))),"")</f>
        <v/>
      </c>
      <c r="E20" s="17">
        <f>IFERROR(IF(INDEX(Itens!$G$2:$G$501,MATCH(8,Itens!$M$2:$M$501,0))="","",INDEX(Itens!$G$2:$G$501,MATCH(8,Itens!$M$2:$M$501,0))),"")</f>
        <v/>
      </c>
      <c r="F20" s="17">
        <f>IFERROR(IF(INDEX(Itens!$I$2:$I$501,MATCH(8,Itens!$M$2:$M$501,0))="","",INDEX(Itens!$I$2:$I$501,MATCH(8,Itens!$M$2:$M$501,0))),"")</f>
        <v/>
      </c>
      <c r="G20" s="17">
        <f>IFERROR(IF(INDEX(Itens!$J$2:$J$501,MATCH(8,Itens!$M$2:$M$501,0))="","",INDEX(Itens!$J$2:$J$501,MATCH(8,Itens!$M$2:$M$501,0))),"")</f>
        <v/>
      </c>
      <c r="H20" s="18">
        <f>IFERROR(IF(INDEX(Itens!$K$2:$K$501,MATCH(8,Itens!$M$2:$M$501,0))="","",INDEX(Itens!$K$2:$K$501,MATCH(8,Itens!$M$2:$M$501,0))),"")</f>
        <v/>
      </c>
      <c r="I20" s="17">
        <f>IFERROR(IF(INDEX(Itens!$L$2:$L$501,MATCH(8,Itens!$M$2:$M$501,0))="","",INDEX(Itens!$L$2:$L$501,MATCH(8,Itens!$M$2:$M$501,0))),"")</f>
        <v/>
      </c>
    </row>
    <row r="21">
      <c r="A21" s="17">
        <f>IFERROR(IF(INDEX(Itens!$A$2:$A$501,MATCH(9,Itens!$M$2:$M$501,0))="","",INDEX(Itens!$A$2:$A$501,MATCH(9,Itens!$M$2:$M$501,0))),"")</f>
        <v/>
      </c>
      <c r="B21" s="17">
        <f>IFERROR(IF(INDEX(Itens!$C$2:$C$501,MATCH(9,Itens!$M$2:$M$501,0))="","",INDEX(Itens!$C$2:$C$501,MATCH(9,Itens!$M$2:$M$501,0))),"")</f>
        <v/>
      </c>
      <c r="C21" s="17">
        <f>IFERROR(IF(INDEX(Itens!$E$2:$E$501,MATCH(9,Itens!$M$2:$M$501,0))="","",INDEX(Itens!$E$2:$E$501,MATCH(9,Itens!$M$2:$M$501,0))),"")</f>
        <v/>
      </c>
      <c r="D21" s="17">
        <f>IFERROR(IF(INDEX(Itens!$F$2:$F$501,MATCH(9,Itens!$M$2:$M$501,0))="","",INDEX(Itens!$F$2:$F$501,MATCH(9,Itens!$M$2:$M$501,0))),"")</f>
        <v/>
      </c>
      <c r="E21" s="17">
        <f>IFERROR(IF(INDEX(Itens!$G$2:$G$501,MATCH(9,Itens!$M$2:$M$501,0))="","",INDEX(Itens!$G$2:$G$501,MATCH(9,Itens!$M$2:$M$501,0))),"")</f>
        <v/>
      </c>
      <c r="F21" s="17">
        <f>IFERROR(IF(INDEX(Itens!$I$2:$I$501,MATCH(9,Itens!$M$2:$M$501,0))="","",INDEX(Itens!$I$2:$I$501,MATCH(9,Itens!$M$2:$M$501,0))),"")</f>
        <v/>
      </c>
      <c r="G21" s="17">
        <f>IFERROR(IF(INDEX(Itens!$J$2:$J$501,MATCH(9,Itens!$M$2:$M$501,0))="","",INDEX(Itens!$J$2:$J$501,MATCH(9,Itens!$M$2:$M$501,0))),"")</f>
        <v/>
      </c>
      <c r="H21" s="18">
        <f>IFERROR(IF(INDEX(Itens!$K$2:$K$501,MATCH(9,Itens!$M$2:$M$501,0))="","",INDEX(Itens!$K$2:$K$501,MATCH(9,Itens!$M$2:$M$501,0))),"")</f>
        <v/>
      </c>
      <c r="I21" s="17">
        <f>IFERROR(IF(INDEX(Itens!$L$2:$L$501,MATCH(9,Itens!$M$2:$M$501,0))="","",INDEX(Itens!$L$2:$L$501,MATCH(9,Itens!$M$2:$M$501,0))),"")</f>
        <v/>
      </c>
    </row>
    <row r="22">
      <c r="A22" s="17">
        <f>IFERROR(IF(INDEX(Itens!$A$2:$A$501,MATCH(10,Itens!$M$2:$M$501,0))="","",INDEX(Itens!$A$2:$A$501,MATCH(10,Itens!$M$2:$M$501,0))),"")</f>
        <v/>
      </c>
      <c r="B22" s="17">
        <f>IFERROR(IF(INDEX(Itens!$C$2:$C$501,MATCH(10,Itens!$M$2:$M$501,0))="","",INDEX(Itens!$C$2:$C$501,MATCH(10,Itens!$M$2:$M$501,0))),"")</f>
        <v/>
      </c>
      <c r="C22" s="17">
        <f>IFERROR(IF(INDEX(Itens!$E$2:$E$501,MATCH(10,Itens!$M$2:$M$501,0))="","",INDEX(Itens!$E$2:$E$501,MATCH(10,Itens!$M$2:$M$501,0))),"")</f>
        <v/>
      </c>
      <c r="D22" s="17">
        <f>IFERROR(IF(INDEX(Itens!$F$2:$F$501,MATCH(10,Itens!$M$2:$M$501,0))="","",INDEX(Itens!$F$2:$F$501,MATCH(10,Itens!$M$2:$M$501,0))),"")</f>
        <v/>
      </c>
      <c r="E22" s="17">
        <f>IFERROR(IF(INDEX(Itens!$G$2:$G$501,MATCH(10,Itens!$M$2:$M$501,0))="","",INDEX(Itens!$G$2:$G$501,MATCH(10,Itens!$M$2:$M$501,0))),"")</f>
        <v/>
      </c>
      <c r="F22" s="17">
        <f>IFERROR(IF(INDEX(Itens!$I$2:$I$501,MATCH(10,Itens!$M$2:$M$501,0))="","",INDEX(Itens!$I$2:$I$501,MATCH(10,Itens!$M$2:$M$501,0))),"")</f>
        <v/>
      </c>
      <c r="G22" s="17">
        <f>IFERROR(IF(INDEX(Itens!$J$2:$J$501,MATCH(10,Itens!$M$2:$M$501,0))="","",INDEX(Itens!$J$2:$J$501,MATCH(10,Itens!$M$2:$M$501,0))),"")</f>
        <v/>
      </c>
      <c r="H22" s="18">
        <f>IFERROR(IF(INDEX(Itens!$K$2:$K$501,MATCH(10,Itens!$M$2:$M$501,0))="","",INDEX(Itens!$K$2:$K$501,MATCH(10,Itens!$M$2:$M$501,0))),"")</f>
        <v/>
      </c>
      <c r="I22" s="17">
        <f>IFERROR(IF(INDEX(Itens!$L$2:$L$501,MATCH(10,Itens!$M$2:$M$501,0))="","",INDEX(Itens!$L$2:$L$501,MATCH(10,Itens!$M$2:$M$501,0))),"")</f>
        <v/>
      </c>
    </row>
    <row r="23">
      <c r="A23" s="17">
        <f>IFERROR(IF(INDEX(Itens!$A$2:$A$501,MATCH(11,Itens!$M$2:$M$501,0))="","",INDEX(Itens!$A$2:$A$501,MATCH(11,Itens!$M$2:$M$501,0))),"")</f>
        <v/>
      </c>
      <c r="B23" s="17">
        <f>IFERROR(IF(INDEX(Itens!$C$2:$C$501,MATCH(11,Itens!$M$2:$M$501,0))="","",INDEX(Itens!$C$2:$C$501,MATCH(11,Itens!$M$2:$M$501,0))),"")</f>
        <v/>
      </c>
      <c r="C23" s="17">
        <f>IFERROR(IF(INDEX(Itens!$E$2:$E$501,MATCH(11,Itens!$M$2:$M$501,0))="","",INDEX(Itens!$E$2:$E$501,MATCH(11,Itens!$M$2:$M$501,0))),"")</f>
        <v/>
      </c>
      <c r="D23" s="17">
        <f>IFERROR(IF(INDEX(Itens!$F$2:$F$501,MATCH(11,Itens!$M$2:$M$501,0))="","",INDEX(Itens!$F$2:$F$501,MATCH(11,Itens!$M$2:$M$501,0))),"")</f>
        <v/>
      </c>
      <c r="E23" s="17">
        <f>IFERROR(IF(INDEX(Itens!$G$2:$G$501,MATCH(11,Itens!$M$2:$M$501,0))="","",INDEX(Itens!$G$2:$G$501,MATCH(11,Itens!$M$2:$M$501,0))),"")</f>
        <v/>
      </c>
      <c r="F23" s="17">
        <f>IFERROR(IF(INDEX(Itens!$I$2:$I$501,MATCH(11,Itens!$M$2:$M$501,0))="","",INDEX(Itens!$I$2:$I$501,MATCH(11,Itens!$M$2:$M$501,0))),"")</f>
        <v/>
      </c>
      <c r="G23" s="17">
        <f>IFERROR(IF(INDEX(Itens!$J$2:$J$501,MATCH(11,Itens!$M$2:$M$501,0))="","",INDEX(Itens!$J$2:$J$501,MATCH(11,Itens!$M$2:$M$501,0))),"")</f>
        <v/>
      </c>
      <c r="H23" s="18">
        <f>IFERROR(IF(INDEX(Itens!$K$2:$K$501,MATCH(11,Itens!$M$2:$M$501,0))="","",INDEX(Itens!$K$2:$K$501,MATCH(11,Itens!$M$2:$M$501,0))),"")</f>
        <v/>
      </c>
      <c r="I23" s="17">
        <f>IFERROR(IF(INDEX(Itens!$L$2:$L$501,MATCH(11,Itens!$M$2:$M$501,0))="","",INDEX(Itens!$L$2:$L$501,MATCH(11,Itens!$M$2:$M$501,0))),"")</f>
        <v/>
      </c>
    </row>
    <row r="24">
      <c r="A24" s="17">
        <f>IFERROR(IF(INDEX(Itens!$A$2:$A$501,MATCH(12,Itens!$M$2:$M$501,0))="","",INDEX(Itens!$A$2:$A$501,MATCH(12,Itens!$M$2:$M$501,0))),"")</f>
        <v/>
      </c>
      <c r="B24" s="17">
        <f>IFERROR(IF(INDEX(Itens!$C$2:$C$501,MATCH(12,Itens!$M$2:$M$501,0))="","",INDEX(Itens!$C$2:$C$501,MATCH(12,Itens!$M$2:$M$501,0))),"")</f>
        <v/>
      </c>
      <c r="C24" s="17">
        <f>IFERROR(IF(INDEX(Itens!$E$2:$E$501,MATCH(12,Itens!$M$2:$M$501,0))="","",INDEX(Itens!$E$2:$E$501,MATCH(12,Itens!$M$2:$M$501,0))),"")</f>
        <v/>
      </c>
      <c r="D24" s="17">
        <f>IFERROR(IF(INDEX(Itens!$F$2:$F$501,MATCH(12,Itens!$M$2:$M$501,0))="","",INDEX(Itens!$F$2:$F$501,MATCH(12,Itens!$M$2:$M$501,0))),"")</f>
        <v/>
      </c>
      <c r="E24" s="17">
        <f>IFERROR(IF(INDEX(Itens!$G$2:$G$501,MATCH(12,Itens!$M$2:$M$501,0))="","",INDEX(Itens!$G$2:$G$501,MATCH(12,Itens!$M$2:$M$501,0))),"")</f>
        <v/>
      </c>
      <c r="F24" s="17">
        <f>IFERROR(IF(INDEX(Itens!$I$2:$I$501,MATCH(12,Itens!$M$2:$M$501,0))="","",INDEX(Itens!$I$2:$I$501,MATCH(12,Itens!$M$2:$M$501,0))),"")</f>
        <v/>
      </c>
      <c r="G24" s="17">
        <f>IFERROR(IF(INDEX(Itens!$J$2:$J$501,MATCH(12,Itens!$M$2:$M$501,0))="","",INDEX(Itens!$J$2:$J$501,MATCH(12,Itens!$M$2:$M$501,0))),"")</f>
        <v/>
      </c>
      <c r="H24" s="18">
        <f>IFERROR(IF(INDEX(Itens!$K$2:$K$501,MATCH(12,Itens!$M$2:$M$501,0))="","",INDEX(Itens!$K$2:$K$501,MATCH(12,Itens!$M$2:$M$501,0))),"")</f>
        <v/>
      </c>
      <c r="I24" s="17">
        <f>IFERROR(IF(INDEX(Itens!$L$2:$L$501,MATCH(12,Itens!$M$2:$M$501,0))="","",INDEX(Itens!$L$2:$L$501,MATCH(12,Itens!$M$2:$M$501,0))),"")</f>
        <v/>
      </c>
    </row>
    <row r="25">
      <c r="A25" s="17">
        <f>IFERROR(IF(INDEX(Itens!$A$2:$A$501,MATCH(13,Itens!$M$2:$M$501,0))="","",INDEX(Itens!$A$2:$A$501,MATCH(13,Itens!$M$2:$M$501,0))),"")</f>
        <v/>
      </c>
      <c r="B25" s="17">
        <f>IFERROR(IF(INDEX(Itens!$C$2:$C$501,MATCH(13,Itens!$M$2:$M$501,0))="","",INDEX(Itens!$C$2:$C$501,MATCH(13,Itens!$M$2:$M$501,0))),"")</f>
        <v/>
      </c>
      <c r="C25" s="17">
        <f>IFERROR(IF(INDEX(Itens!$E$2:$E$501,MATCH(13,Itens!$M$2:$M$501,0))="","",INDEX(Itens!$E$2:$E$501,MATCH(13,Itens!$M$2:$M$501,0))),"")</f>
        <v/>
      </c>
      <c r="D25" s="17">
        <f>IFERROR(IF(INDEX(Itens!$F$2:$F$501,MATCH(13,Itens!$M$2:$M$501,0))="","",INDEX(Itens!$F$2:$F$501,MATCH(13,Itens!$M$2:$M$501,0))),"")</f>
        <v/>
      </c>
      <c r="E25" s="17">
        <f>IFERROR(IF(INDEX(Itens!$G$2:$G$501,MATCH(13,Itens!$M$2:$M$501,0))="","",INDEX(Itens!$G$2:$G$501,MATCH(13,Itens!$M$2:$M$501,0))),"")</f>
        <v/>
      </c>
      <c r="F25" s="17">
        <f>IFERROR(IF(INDEX(Itens!$I$2:$I$501,MATCH(13,Itens!$M$2:$M$501,0))="","",INDEX(Itens!$I$2:$I$501,MATCH(13,Itens!$M$2:$M$501,0))),"")</f>
        <v/>
      </c>
      <c r="G25" s="17">
        <f>IFERROR(IF(INDEX(Itens!$J$2:$J$501,MATCH(13,Itens!$M$2:$M$501,0))="","",INDEX(Itens!$J$2:$J$501,MATCH(13,Itens!$M$2:$M$501,0))),"")</f>
        <v/>
      </c>
      <c r="H25" s="18">
        <f>IFERROR(IF(INDEX(Itens!$K$2:$K$501,MATCH(13,Itens!$M$2:$M$501,0))="","",INDEX(Itens!$K$2:$K$501,MATCH(13,Itens!$M$2:$M$501,0))),"")</f>
        <v/>
      </c>
      <c r="I25" s="17">
        <f>IFERROR(IF(INDEX(Itens!$L$2:$L$501,MATCH(13,Itens!$M$2:$M$501,0))="","",INDEX(Itens!$L$2:$L$501,MATCH(13,Itens!$M$2:$M$501,0))),"")</f>
        <v/>
      </c>
    </row>
    <row r="26">
      <c r="A26" s="17">
        <f>IFERROR(IF(INDEX(Itens!$A$2:$A$501,MATCH(14,Itens!$M$2:$M$501,0))="","",INDEX(Itens!$A$2:$A$501,MATCH(14,Itens!$M$2:$M$501,0))),"")</f>
        <v/>
      </c>
      <c r="B26" s="17">
        <f>IFERROR(IF(INDEX(Itens!$C$2:$C$501,MATCH(14,Itens!$M$2:$M$501,0))="","",INDEX(Itens!$C$2:$C$501,MATCH(14,Itens!$M$2:$M$501,0))),"")</f>
        <v/>
      </c>
      <c r="C26" s="17">
        <f>IFERROR(IF(INDEX(Itens!$E$2:$E$501,MATCH(14,Itens!$M$2:$M$501,0))="","",INDEX(Itens!$E$2:$E$501,MATCH(14,Itens!$M$2:$M$501,0))),"")</f>
        <v/>
      </c>
      <c r="D26" s="17">
        <f>IFERROR(IF(INDEX(Itens!$F$2:$F$501,MATCH(14,Itens!$M$2:$M$501,0))="","",INDEX(Itens!$F$2:$F$501,MATCH(14,Itens!$M$2:$M$501,0))),"")</f>
        <v/>
      </c>
      <c r="E26" s="17">
        <f>IFERROR(IF(INDEX(Itens!$G$2:$G$501,MATCH(14,Itens!$M$2:$M$501,0))="","",INDEX(Itens!$G$2:$G$501,MATCH(14,Itens!$M$2:$M$501,0))),"")</f>
        <v/>
      </c>
      <c r="F26" s="17">
        <f>IFERROR(IF(INDEX(Itens!$I$2:$I$501,MATCH(14,Itens!$M$2:$M$501,0))="","",INDEX(Itens!$I$2:$I$501,MATCH(14,Itens!$M$2:$M$501,0))),"")</f>
        <v/>
      </c>
      <c r="G26" s="17">
        <f>IFERROR(IF(INDEX(Itens!$J$2:$J$501,MATCH(14,Itens!$M$2:$M$501,0))="","",INDEX(Itens!$J$2:$J$501,MATCH(14,Itens!$M$2:$M$501,0))),"")</f>
        <v/>
      </c>
      <c r="H26" s="18">
        <f>IFERROR(IF(INDEX(Itens!$K$2:$K$501,MATCH(14,Itens!$M$2:$M$501,0))="","",INDEX(Itens!$K$2:$K$501,MATCH(14,Itens!$M$2:$M$501,0))),"")</f>
        <v/>
      </c>
      <c r="I26" s="17">
        <f>IFERROR(IF(INDEX(Itens!$L$2:$L$501,MATCH(14,Itens!$M$2:$M$501,0))="","",INDEX(Itens!$L$2:$L$501,MATCH(14,Itens!$M$2:$M$501,0))),"")</f>
        <v/>
      </c>
    </row>
    <row r="27">
      <c r="A27" s="17">
        <f>IFERROR(IF(INDEX(Itens!$A$2:$A$501,MATCH(15,Itens!$M$2:$M$501,0))="","",INDEX(Itens!$A$2:$A$501,MATCH(15,Itens!$M$2:$M$501,0))),"")</f>
        <v/>
      </c>
      <c r="B27" s="17">
        <f>IFERROR(IF(INDEX(Itens!$C$2:$C$501,MATCH(15,Itens!$M$2:$M$501,0))="","",INDEX(Itens!$C$2:$C$501,MATCH(15,Itens!$M$2:$M$501,0))),"")</f>
        <v/>
      </c>
      <c r="C27" s="17">
        <f>IFERROR(IF(INDEX(Itens!$E$2:$E$501,MATCH(15,Itens!$M$2:$M$501,0))="","",INDEX(Itens!$E$2:$E$501,MATCH(15,Itens!$M$2:$M$501,0))),"")</f>
        <v/>
      </c>
      <c r="D27" s="17">
        <f>IFERROR(IF(INDEX(Itens!$F$2:$F$501,MATCH(15,Itens!$M$2:$M$501,0))="","",INDEX(Itens!$F$2:$F$501,MATCH(15,Itens!$M$2:$M$501,0))),"")</f>
        <v/>
      </c>
      <c r="E27" s="17">
        <f>IFERROR(IF(INDEX(Itens!$G$2:$G$501,MATCH(15,Itens!$M$2:$M$501,0))="","",INDEX(Itens!$G$2:$G$501,MATCH(15,Itens!$M$2:$M$501,0))),"")</f>
        <v/>
      </c>
      <c r="F27" s="17">
        <f>IFERROR(IF(INDEX(Itens!$I$2:$I$501,MATCH(15,Itens!$M$2:$M$501,0))="","",INDEX(Itens!$I$2:$I$501,MATCH(15,Itens!$M$2:$M$501,0))),"")</f>
        <v/>
      </c>
      <c r="G27" s="17">
        <f>IFERROR(IF(INDEX(Itens!$J$2:$J$501,MATCH(15,Itens!$M$2:$M$501,0))="","",INDEX(Itens!$J$2:$J$501,MATCH(15,Itens!$M$2:$M$501,0))),"")</f>
        <v/>
      </c>
      <c r="H27" s="18">
        <f>IFERROR(IF(INDEX(Itens!$K$2:$K$501,MATCH(15,Itens!$M$2:$M$501,0))="","",INDEX(Itens!$K$2:$K$501,MATCH(15,Itens!$M$2:$M$501,0))),"")</f>
        <v/>
      </c>
      <c r="I27" s="17">
        <f>IFERROR(IF(INDEX(Itens!$L$2:$L$501,MATCH(15,Itens!$M$2:$M$501,0))="","",INDEX(Itens!$L$2:$L$501,MATCH(15,Itens!$M$2:$M$501,0))),"")</f>
        <v/>
      </c>
    </row>
    <row r="28">
      <c r="A28" s="17">
        <f>IFERROR(IF(INDEX(Itens!$A$2:$A$501,MATCH(16,Itens!$M$2:$M$501,0))="","",INDEX(Itens!$A$2:$A$501,MATCH(16,Itens!$M$2:$M$501,0))),"")</f>
        <v/>
      </c>
      <c r="B28" s="17">
        <f>IFERROR(IF(INDEX(Itens!$C$2:$C$501,MATCH(16,Itens!$M$2:$M$501,0))="","",INDEX(Itens!$C$2:$C$501,MATCH(16,Itens!$M$2:$M$501,0))),"")</f>
        <v/>
      </c>
      <c r="C28" s="17">
        <f>IFERROR(IF(INDEX(Itens!$E$2:$E$501,MATCH(16,Itens!$M$2:$M$501,0))="","",INDEX(Itens!$E$2:$E$501,MATCH(16,Itens!$M$2:$M$501,0))),"")</f>
        <v/>
      </c>
      <c r="D28" s="17">
        <f>IFERROR(IF(INDEX(Itens!$F$2:$F$501,MATCH(16,Itens!$M$2:$M$501,0))="","",INDEX(Itens!$F$2:$F$501,MATCH(16,Itens!$M$2:$M$501,0))),"")</f>
        <v/>
      </c>
      <c r="E28" s="17">
        <f>IFERROR(IF(INDEX(Itens!$G$2:$G$501,MATCH(16,Itens!$M$2:$M$501,0))="","",INDEX(Itens!$G$2:$G$501,MATCH(16,Itens!$M$2:$M$501,0))),"")</f>
        <v/>
      </c>
      <c r="F28" s="17">
        <f>IFERROR(IF(INDEX(Itens!$I$2:$I$501,MATCH(16,Itens!$M$2:$M$501,0))="","",INDEX(Itens!$I$2:$I$501,MATCH(16,Itens!$M$2:$M$501,0))),"")</f>
        <v/>
      </c>
      <c r="G28" s="17">
        <f>IFERROR(IF(INDEX(Itens!$J$2:$J$501,MATCH(16,Itens!$M$2:$M$501,0))="","",INDEX(Itens!$J$2:$J$501,MATCH(16,Itens!$M$2:$M$501,0))),"")</f>
        <v/>
      </c>
      <c r="H28" s="18">
        <f>IFERROR(IF(INDEX(Itens!$K$2:$K$501,MATCH(16,Itens!$M$2:$M$501,0))="","",INDEX(Itens!$K$2:$K$501,MATCH(16,Itens!$M$2:$M$501,0))),"")</f>
        <v/>
      </c>
      <c r="I28" s="17">
        <f>IFERROR(IF(INDEX(Itens!$L$2:$L$501,MATCH(16,Itens!$M$2:$M$501,0))="","",INDEX(Itens!$L$2:$L$501,MATCH(16,Itens!$M$2:$M$501,0))),"")</f>
        <v/>
      </c>
    </row>
    <row r="29">
      <c r="A29" s="17">
        <f>IFERROR(IF(INDEX(Itens!$A$2:$A$501,MATCH(17,Itens!$M$2:$M$501,0))="","",INDEX(Itens!$A$2:$A$501,MATCH(17,Itens!$M$2:$M$501,0))),"")</f>
        <v/>
      </c>
      <c r="B29" s="17">
        <f>IFERROR(IF(INDEX(Itens!$C$2:$C$501,MATCH(17,Itens!$M$2:$M$501,0))="","",INDEX(Itens!$C$2:$C$501,MATCH(17,Itens!$M$2:$M$501,0))),"")</f>
        <v/>
      </c>
      <c r="C29" s="17">
        <f>IFERROR(IF(INDEX(Itens!$E$2:$E$501,MATCH(17,Itens!$M$2:$M$501,0))="","",INDEX(Itens!$E$2:$E$501,MATCH(17,Itens!$M$2:$M$501,0))),"")</f>
        <v/>
      </c>
      <c r="D29" s="17">
        <f>IFERROR(IF(INDEX(Itens!$F$2:$F$501,MATCH(17,Itens!$M$2:$M$501,0))="","",INDEX(Itens!$F$2:$F$501,MATCH(17,Itens!$M$2:$M$501,0))),"")</f>
        <v/>
      </c>
      <c r="E29" s="17">
        <f>IFERROR(IF(INDEX(Itens!$G$2:$G$501,MATCH(17,Itens!$M$2:$M$501,0))="","",INDEX(Itens!$G$2:$G$501,MATCH(17,Itens!$M$2:$M$501,0))),"")</f>
        <v/>
      </c>
      <c r="F29" s="17">
        <f>IFERROR(IF(INDEX(Itens!$I$2:$I$501,MATCH(17,Itens!$M$2:$M$501,0))="","",INDEX(Itens!$I$2:$I$501,MATCH(17,Itens!$M$2:$M$501,0))),"")</f>
        <v/>
      </c>
      <c r="G29" s="17">
        <f>IFERROR(IF(INDEX(Itens!$J$2:$J$501,MATCH(17,Itens!$M$2:$M$501,0))="","",INDEX(Itens!$J$2:$J$501,MATCH(17,Itens!$M$2:$M$501,0))),"")</f>
        <v/>
      </c>
      <c r="H29" s="18">
        <f>IFERROR(IF(INDEX(Itens!$K$2:$K$501,MATCH(17,Itens!$M$2:$M$501,0))="","",INDEX(Itens!$K$2:$K$501,MATCH(17,Itens!$M$2:$M$501,0))),"")</f>
        <v/>
      </c>
      <c r="I29" s="17">
        <f>IFERROR(IF(INDEX(Itens!$L$2:$L$501,MATCH(17,Itens!$M$2:$M$501,0))="","",INDEX(Itens!$L$2:$L$501,MATCH(17,Itens!$M$2:$M$501,0))),"")</f>
        <v/>
      </c>
    </row>
    <row r="30">
      <c r="A30" s="17">
        <f>IFERROR(IF(INDEX(Itens!$A$2:$A$501,MATCH(18,Itens!$M$2:$M$501,0))="","",INDEX(Itens!$A$2:$A$501,MATCH(18,Itens!$M$2:$M$501,0))),"")</f>
        <v/>
      </c>
      <c r="B30" s="17">
        <f>IFERROR(IF(INDEX(Itens!$C$2:$C$501,MATCH(18,Itens!$M$2:$M$501,0))="","",INDEX(Itens!$C$2:$C$501,MATCH(18,Itens!$M$2:$M$501,0))),"")</f>
        <v/>
      </c>
      <c r="C30" s="17">
        <f>IFERROR(IF(INDEX(Itens!$E$2:$E$501,MATCH(18,Itens!$M$2:$M$501,0))="","",INDEX(Itens!$E$2:$E$501,MATCH(18,Itens!$M$2:$M$501,0))),"")</f>
        <v/>
      </c>
      <c r="D30" s="17">
        <f>IFERROR(IF(INDEX(Itens!$F$2:$F$501,MATCH(18,Itens!$M$2:$M$501,0))="","",INDEX(Itens!$F$2:$F$501,MATCH(18,Itens!$M$2:$M$501,0))),"")</f>
        <v/>
      </c>
      <c r="E30" s="17">
        <f>IFERROR(IF(INDEX(Itens!$G$2:$G$501,MATCH(18,Itens!$M$2:$M$501,0))="","",INDEX(Itens!$G$2:$G$501,MATCH(18,Itens!$M$2:$M$501,0))),"")</f>
        <v/>
      </c>
      <c r="F30" s="17">
        <f>IFERROR(IF(INDEX(Itens!$I$2:$I$501,MATCH(18,Itens!$M$2:$M$501,0))="","",INDEX(Itens!$I$2:$I$501,MATCH(18,Itens!$M$2:$M$501,0))),"")</f>
        <v/>
      </c>
      <c r="G30" s="17">
        <f>IFERROR(IF(INDEX(Itens!$J$2:$J$501,MATCH(18,Itens!$M$2:$M$501,0))="","",INDEX(Itens!$J$2:$J$501,MATCH(18,Itens!$M$2:$M$501,0))),"")</f>
        <v/>
      </c>
      <c r="H30" s="18">
        <f>IFERROR(IF(INDEX(Itens!$K$2:$K$501,MATCH(18,Itens!$M$2:$M$501,0))="","",INDEX(Itens!$K$2:$K$501,MATCH(18,Itens!$M$2:$M$501,0))),"")</f>
        <v/>
      </c>
      <c r="I30" s="17">
        <f>IFERROR(IF(INDEX(Itens!$L$2:$L$501,MATCH(18,Itens!$M$2:$M$501,0))="","",INDEX(Itens!$L$2:$L$501,MATCH(18,Itens!$M$2:$M$501,0))),"")</f>
        <v/>
      </c>
    </row>
    <row r="31">
      <c r="A31" s="17">
        <f>IFERROR(IF(INDEX(Itens!$A$2:$A$501,MATCH(19,Itens!$M$2:$M$501,0))="","",INDEX(Itens!$A$2:$A$501,MATCH(19,Itens!$M$2:$M$501,0))),"")</f>
        <v/>
      </c>
      <c r="B31" s="17">
        <f>IFERROR(IF(INDEX(Itens!$C$2:$C$501,MATCH(19,Itens!$M$2:$M$501,0))="","",INDEX(Itens!$C$2:$C$501,MATCH(19,Itens!$M$2:$M$501,0))),"")</f>
        <v/>
      </c>
      <c r="C31" s="17">
        <f>IFERROR(IF(INDEX(Itens!$E$2:$E$501,MATCH(19,Itens!$M$2:$M$501,0))="","",INDEX(Itens!$E$2:$E$501,MATCH(19,Itens!$M$2:$M$501,0))),"")</f>
        <v/>
      </c>
      <c r="D31" s="17">
        <f>IFERROR(IF(INDEX(Itens!$F$2:$F$501,MATCH(19,Itens!$M$2:$M$501,0))="","",INDEX(Itens!$F$2:$F$501,MATCH(19,Itens!$M$2:$M$501,0))),"")</f>
        <v/>
      </c>
      <c r="E31" s="17">
        <f>IFERROR(IF(INDEX(Itens!$G$2:$G$501,MATCH(19,Itens!$M$2:$M$501,0))="","",INDEX(Itens!$G$2:$G$501,MATCH(19,Itens!$M$2:$M$501,0))),"")</f>
        <v/>
      </c>
      <c r="F31" s="17">
        <f>IFERROR(IF(INDEX(Itens!$I$2:$I$501,MATCH(19,Itens!$M$2:$M$501,0))="","",INDEX(Itens!$I$2:$I$501,MATCH(19,Itens!$M$2:$M$501,0))),"")</f>
        <v/>
      </c>
      <c r="G31" s="17">
        <f>IFERROR(IF(INDEX(Itens!$J$2:$J$501,MATCH(19,Itens!$M$2:$M$501,0))="","",INDEX(Itens!$J$2:$J$501,MATCH(19,Itens!$M$2:$M$501,0))),"")</f>
        <v/>
      </c>
      <c r="H31" s="18">
        <f>IFERROR(IF(INDEX(Itens!$K$2:$K$501,MATCH(19,Itens!$M$2:$M$501,0))="","",INDEX(Itens!$K$2:$K$501,MATCH(19,Itens!$M$2:$M$501,0))),"")</f>
        <v/>
      </c>
      <c r="I31" s="17">
        <f>IFERROR(IF(INDEX(Itens!$L$2:$L$501,MATCH(19,Itens!$M$2:$M$501,0))="","",INDEX(Itens!$L$2:$L$501,MATCH(19,Itens!$M$2:$M$501,0))),"")</f>
        <v/>
      </c>
    </row>
    <row r="32">
      <c r="A32" s="17">
        <f>IFERROR(IF(INDEX(Itens!$A$2:$A$501,MATCH(20,Itens!$M$2:$M$501,0))="","",INDEX(Itens!$A$2:$A$501,MATCH(20,Itens!$M$2:$M$501,0))),"")</f>
        <v/>
      </c>
      <c r="B32" s="17">
        <f>IFERROR(IF(INDEX(Itens!$C$2:$C$501,MATCH(20,Itens!$M$2:$M$501,0))="","",INDEX(Itens!$C$2:$C$501,MATCH(20,Itens!$M$2:$M$501,0))),"")</f>
        <v/>
      </c>
      <c r="C32" s="17">
        <f>IFERROR(IF(INDEX(Itens!$E$2:$E$501,MATCH(20,Itens!$M$2:$M$501,0))="","",INDEX(Itens!$E$2:$E$501,MATCH(20,Itens!$M$2:$M$501,0))),"")</f>
        <v/>
      </c>
      <c r="D32" s="17">
        <f>IFERROR(IF(INDEX(Itens!$F$2:$F$501,MATCH(20,Itens!$M$2:$M$501,0))="","",INDEX(Itens!$F$2:$F$501,MATCH(20,Itens!$M$2:$M$501,0))),"")</f>
        <v/>
      </c>
      <c r="E32" s="17">
        <f>IFERROR(IF(INDEX(Itens!$G$2:$G$501,MATCH(20,Itens!$M$2:$M$501,0))="","",INDEX(Itens!$G$2:$G$501,MATCH(20,Itens!$M$2:$M$501,0))),"")</f>
        <v/>
      </c>
      <c r="F32" s="17">
        <f>IFERROR(IF(INDEX(Itens!$I$2:$I$501,MATCH(20,Itens!$M$2:$M$501,0))="","",INDEX(Itens!$I$2:$I$501,MATCH(20,Itens!$M$2:$M$501,0))),"")</f>
        <v/>
      </c>
      <c r="G32" s="17">
        <f>IFERROR(IF(INDEX(Itens!$J$2:$J$501,MATCH(20,Itens!$M$2:$M$501,0))="","",INDEX(Itens!$J$2:$J$501,MATCH(20,Itens!$M$2:$M$501,0))),"")</f>
        <v/>
      </c>
      <c r="H32" s="18">
        <f>IFERROR(IF(INDEX(Itens!$K$2:$K$501,MATCH(20,Itens!$M$2:$M$501,0))="","",INDEX(Itens!$K$2:$K$501,MATCH(20,Itens!$M$2:$M$501,0))),"")</f>
        <v/>
      </c>
      <c r="I32" s="17">
        <f>IFERROR(IF(INDEX(Itens!$L$2:$L$501,MATCH(20,Itens!$M$2:$M$501,0))="","",INDEX(Itens!$L$2:$L$501,MATCH(20,Itens!$M$2:$M$501,0))),"")</f>
        <v/>
      </c>
    </row>
    <row r="33">
      <c r="A33" s="17">
        <f>IFERROR(IF(INDEX(Itens!$A$2:$A$501,MATCH(21,Itens!$M$2:$M$501,0))="","",INDEX(Itens!$A$2:$A$501,MATCH(21,Itens!$M$2:$M$501,0))),"")</f>
        <v/>
      </c>
      <c r="B33" s="17">
        <f>IFERROR(IF(INDEX(Itens!$C$2:$C$501,MATCH(21,Itens!$M$2:$M$501,0))="","",INDEX(Itens!$C$2:$C$501,MATCH(21,Itens!$M$2:$M$501,0))),"")</f>
        <v/>
      </c>
      <c r="C33" s="17">
        <f>IFERROR(IF(INDEX(Itens!$E$2:$E$501,MATCH(21,Itens!$M$2:$M$501,0))="","",INDEX(Itens!$E$2:$E$501,MATCH(21,Itens!$M$2:$M$501,0))),"")</f>
        <v/>
      </c>
      <c r="D33" s="17">
        <f>IFERROR(IF(INDEX(Itens!$F$2:$F$501,MATCH(21,Itens!$M$2:$M$501,0))="","",INDEX(Itens!$F$2:$F$501,MATCH(21,Itens!$M$2:$M$501,0))),"")</f>
        <v/>
      </c>
      <c r="E33" s="17">
        <f>IFERROR(IF(INDEX(Itens!$G$2:$G$501,MATCH(21,Itens!$M$2:$M$501,0))="","",INDEX(Itens!$G$2:$G$501,MATCH(21,Itens!$M$2:$M$501,0))),"")</f>
        <v/>
      </c>
      <c r="F33" s="17">
        <f>IFERROR(IF(INDEX(Itens!$I$2:$I$501,MATCH(21,Itens!$M$2:$M$501,0))="","",INDEX(Itens!$I$2:$I$501,MATCH(21,Itens!$M$2:$M$501,0))),"")</f>
        <v/>
      </c>
      <c r="G33" s="17">
        <f>IFERROR(IF(INDEX(Itens!$J$2:$J$501,MATCH(21,Itens!$M$2:$M$501,0))="","",INDEX(Itens!$J$2:$J$501,MATCH(21,Itens!$M$2:$M$501,0))),"")</f>
        <v/>
      </c>
      <c r="H33" s="18">
        <f>IFERROR(IF(INDEX(Itens!$K$2:$K$501,MATCH(21,Itens!$M$2:$M$501,0))="","",INDEX(Itens!$K$2:$K$501,MATCH(21,Itens!$M$2:$M$501,0))),"")</f>
        <v/>
      </c>
      <c r="I33" s="17">
        <f>IFERROR(IF(INDEX(Itens!$L$2:$L$501,MATCH(21,Itens!$M$2:$M$501,0))="","",INDEX(Itens!$L$2:$L$501,MATCH(21,Itens!$M$2:$M$501,0))),"")</f>
        <v/>
      </c>
    </row>
    <row r="34">
      <c r="A34" s="17">
        <f>IFERROR(IF(INDEX(Itens!$A$2:$A$501,MATCH(22,Itens!$M$2:$M$501,0))="","",INDEX(Itens!$A$2:$A$501,MATCH(22,Itens!$M$2:$M$501,0))),"")</f>
        <v/>
      </c>
      <c r="B34" s="17">
        <f>IFERROR(IF(INDEX(Itens!$C$2:$C$501,MATCH(22,Itens!$M$2:$M$501,0))="","",INDEX(Itens!$C$2:$C$501,MATCH(22,Itens!$M$2:$M$501,0))),"")</f>
        <v/>
      </c>
      <c r="C34" s="17">
        <f>IFERROR(IF(INDEX(Itens!$E$2:$E$501,MATCH(22,Itens!$M$2:$M$501,0))="","",INDEX(Itens!$E$2:$E$501,MATCH(22,Itens!$M$2:$M$501,0))),"")</f>
        <v/>
      </c>
      <c r="D34" s="17">
        <f>IFERROR(IF(INDEX(Itens!$F$2:$F$501,MATCH(22,Itens!$M$2:$M$501,0))="","",INDEX(Itens!$F$2:$F$501,MATCH(22,Itens!$M$2:$M$501,0))),"")</f>
        <v/>
      </c>
      <c r="E34" s="17">
        <f>IFERROR(IF(INDEX(Itens!$G$2:$G$501,MATCH(22,Itens!$M$2:$M$501,0))="","",INDEX(Itens!$G$2:$G$501,MATCH(22,Itens!$M$2:$M$501,0))),"")</f>
        <v/>
      </c>
      <c r="F34" s="17">
        <f>IFERROR(IF(INDEX(Itens!$I$2:$I$501,MATCH(22,Itens!$M$2:$M$501,0))="","",INDEX(Itens!$I$2:$I$501,MATCH(22,Itens!$M$2:$M$501,0))),"")</f>
        <v/>
      </c>
      <c r="G34" s="17">
        <f>IFERROR(IF(INDEX(Itens!$J$2:$J$501,MATCH(22,Itens!$M$2:$M$501,0))="","",INDEX(Itens!$J$2:$J$501,MATCH(22,Itens!$M$2:$M$501,0))),"")</f>
        <v/>
      </c>
      <c r="H34" s="18">
        <f>IFERROR(IF(INDEX(Itens!$K$2:$K$501,MATCH(22,Itens!$M$2:$M$501,0))="","",INDEX(Itens!$K$2:$K$501,MATCH(22,Itens!$M$2:$M$501,0))),"")</f>
        <v/>
      </c>
      <c r="I34" s="17">
        <f>IFERROR(IF(INDEX(Itens!$L$2:$L$501,MATCH(22,Itens!$M$2:$M$501,0))="","",INDEX(Itens!$L$2:$L$501,MATCH(22,Itens!$M$2:$M$501,0))),"")</f>
        <v/>
      </c>
    </row>
    <row r="35">
      <c r="A35" s="17">
        <f>IFERROR(IF(INDEX(Itens!$A$2:$A$501,MATCH(23,Itens!$M$2:$M$501,0))="","",INDEX(Itens!$A$2:$A$501,MATCH(23,Itens!$M$2:$M$501,0))),"")</f>
        <v/>
      </c>
      <c r="B35" s="17">
        <f>IFERROR(IF(INDEX(Itens!$C$2:$C$501,MATCH(23,Itens!$M$2:$M$501,0))="","",INDEX(Itens!$C$2:$C$501,MATCH(23,Itens!$M$2:$M$501,0))),"")</f>
        <v/>
      </c>
      <c r="C35" s="17">
        <f>IFERROR(IF(INDEX(Itens!$E$2:$E$501,MATCH(23,Itens!$M$2:$M$501,0))="","",INDEX(Itens!$E$2:$E$501,MATCH(23,Itens!$M$2:$M$501,0))),"")</f>
        <v/>
      </c>
      <c r="D35" s="17">
        <f>IFERROR(IF(INDEX(Itens!$F$2:$F$501,MATCH(23,Itens!$M$2:$M$501,0))="","",INDEX(Itens!$F$2:$F$501,MATCH(23,Itens!$M$2:$M$501,0))),"")</f>
        <v/>
      </c>
      <c r="E35" s="17">
        <f>IFERROR(IF(INDEX(Itens!$G$2:$G$501,MATCH(23,Itens!$M$2:$M$501,0))="","",INDEX(Itens!$G$2:$G$501,MATCH(23,Itens!$M$2:$M$501,0))),"")</f>
        <v/>
      </c>
      <c r="F35" s="17">
        <f>IFERROR(IF(INDEX(Itens!$I$2:$I$501,MATCH(23,Itens!$M$2:$M$501,0))="","",INDEX(Itens!$I$2:$I$501,MATCH(23,Itens!$M$2:$M$501,0))),"")</f>
        <v/>
      </c>
      <c r="G35" s="17">
        <f>IFERROR(IF(INDEX(Itens!$J$2:$J$501,MATCH(23,Itens!$M$2:$M$501,0))="","",INDEX(Itens!$J$2:$J$501,MATCH(23,Itens!$M$2:$M$501,0))),"")</f>
        <v/>
      </c>
      <c r="H35" s="18">
        <f>IFERROR(IF(INDEX(Itens!$K$2:$K$501,MATCH(23,Itens!$M$2:$M$501,0))="","",INDEX(Itens!$K$2:$K$501,MATCH(23,Itens!$M$2:$M$501,0))),"")</f>
        <v/>
      </c>
      <c r="I35" s="17">
        <f>IFERROR(IF(INDEX(Itens!$L$2:$L$501,MATCH(23,Itens!$M$2:$M$501,0))="","",INDEX(Itens!$L$2:$L$501,MATCH(23,Itens!$M$2:$M$501,0))),"")</f>
        <v/>
      </c>
    </row>
    <row r="36">
      <c r="A36" s="17">
        <f>IFERROR(IF(INDEX(Itens!$A$2:$A$501,MATCH(24,Itens!$M$2:$M$501,0))="","",INDEX(Itens!$A$2:$A$501,MATCH(24,Itens!$M$2:$M$501,0))),"")</f>
        <v/>
      </c>
      <c r="B36" s="17">
        <f>IFERROR(IF(INDEX(Itens!$C$2:$C$501,MATCH(24,Itens!$M$2:$M$501,0))="","",INDEX(Itens!$C$2:$C$501,MATCH(24,Itens!$M$2:$M$501,0))),"")</f>
        <v/>
      </c>
      <c r="C36" s="17">
        <f>IFERROR(IF(INDEX(Itens!$E$2:$E$501,MATCH(24,Itens!$M$2:$M$501,0))="","",INDEX(Itens!$E$2:$E$501,MATCH(24,Itens!$M$2:$M$501,0))),"")</f>
        <v/>
      </c>
      <c r="D36" s="17">
        <f>IFERROR(IF(INDEX(Itens!$F$2:$F$501,MATCH(24,Itens!$M$2:$M$501,0))="","",INDEX(Itens!$F$2:$F$501,MATCH(24,Itens!$M$2:$M$501,0))),"")</f>
        <v/>
      </c>
      <c r="E36" s="17">
        <f>IFERROR(IF(INDEX(Itens!$G$2:$G$501,MATCH(24,Itens!$M$2:$M$501,0))="","",INDEX(Itens!$G$2:$G$501,MATCH(24,Itens!$M$2:$M$501,0))),"")</f>
        <v/>
      </c>
      <c r="F36" s="17">
        <f>IFERROR(IF(INDEX(Itens!$I$2:$I$501,MATCH(24,Itens!$M$2:$M$501,0))="","",INDEX(Itens!$I$2:$I$501,MATCH(24,Itens!$M$2:$M$501,0))),"")</f>
        <v/>
      </c>
      <c r="G36" s="17">
        <f>IFERROR(IF(INDEX(Itens!$J$2:$J$501,MATCH(24,Itens!$M$2:$M$501,0))="","",INDEX(Itens!$J$2:$J$501,MATCH(24,Itens!$M$2:$M$501,0))),"")</f>
        <v/>
      </c>
      <c r="H36" s="18">
        <f>IFERROR(IF(INDEX(Itens!$K$2:$K$501,MATCH(24,Itens!$M$2:$M$501,0))="","",INDEX(Itens!$K$2:$K$501,MATCH(24,Itens!$M$2:$M$501,0))),"")</f>
        <v/>
      </c>
      <c r="I36" s="17">
        <f>IFERROR(IF(INDEX(Itens!$L$2:$L$501,MATCH(24,Itens!$M$2:$M$501,0))="","",INDEX(Itens!$L$2:$L$501,MATCH(24,Itens!$M$2:$M$501,0))),"")</f>
        <v/>
      </c>
    </row>
    <row r="37">
      <c r="A37" s="17">
        <f>IFERROR(IF(INDEX(Itens!$A$2:$A$501,MATCH(25,Itens!$M$2:$M$501,0))="","",INDEX(Itens!$A$2:$A$501,MATCH(25,Itens!$M$2:$M$501,0))),"")</f>
        <v/>
      </c>
      <c r="B37" s="17">
        <f>IFERROR(IF(INDEX(Itens!$C$2:$C$501,MATCH(25,Itens!$M$2:$M$501,0))="","",INDEX(Itens!$C$2:$C$501,MATCH(25,Itens!$M$2:$M$501,0))),"")</f>
        <v/>
      </c>
      <c r="C37" s="17">
        <f>IFERROR(IF(INDEX(Itens!$E$2:$E$501,MATCH(25,Itens!$M$2:$M$501,0))="","",INDEX(Itens!$E$2:$E$501,MATCH(25,Itens!$M$2:$M$501,0))),"")</f>
        <v/>
      </c>
      <c r="D37" s="17">
        <f>IFERROR(IF(INDEX(Itens!$F$2:$F$501,MATCH(25,Itens!$M$2:$M$501,0))="","",INDEX(Itens!$F$2:$F$501,MATCH(25,Itens!$M$2:$M$501,0))),"")</f>
        <v/>
      </c>
      <c r="E37" s="17">
        <f>IFERROR(IF(INDEX(Itens!$G$2:$G$501,MATCH(25,Itens!$M$2:$M$501,0))="","",INDEX(Itens!$G$2:$G$501,MATCH(25,Itens!$M$2:$M$501,0))),"")</f>
        <v/>
      </c>
      <c r="F37" s="17">
        <f>IFERROR(IF(INDEX(Itens!$I$2:$I$501,MATCH(25,Itens!$M$2:$M$501,0))="","",INDEX(Itens!$I$2:$I$501,MATCH(25,Itens!$M$2:$M$501,0))),"")</f>
        <v/>
      </c>
      <c r="G37" s="17">
        <f>IFERROR(IF(INDEX(Itens!$J$2:$J$501,MATCH(25,Itens!$M$2:$M$501,0))="","",INDEX(Itens!$J$2:$J$501,MATCH(25,Itens!$M$2:$M$501,0))),"")</f>
        <v/>
      </c>
      <c r="H37" s="18">
        <f>IFERROR(IF(INDEX(Itens!$K$2:$K$501,MATCH(25,Itens!$M$2:$M$501,0))="","",INDEX(Itens!$K$2:$K$501,MATCH(25,Itens!$M$2:$M$501,0))),"")</f>
        <v/>
      </c>
      <c r="I37" s="17">
        <f>IFERROR(IF(INDEX(Itens!$L$2:$L$501,MATCH(25,Itens!$M$2:$M$501,0))="","",INDEX(Itens!$L$2:$L$501,MATCH(25,Itens!$M$2:$M$501,0))),"")</f>
        <v/>
      </c>
    </row>
    <row r="38">
      <c r="A38" s="17">
        <f>IFERROR(IF(INDEX(Itens!$A$2:$A$501,MATCH(26,Itens!$M$2:$M$501,0))="","",INDEX(Itens!$A$2:$A$501,MATCH(26,Itens!$M$2:$M$501,0))),"")</f>
        <v/>
      </c>
      <c r="B38" s="17">
        <f>IFERROR(IF(INDEX(Itens!$C$2:$C$501,MATCH(26,Itens!$M$2:$M$501,0))="","",INDEX(Itens!$C$2:$C$501,MATCH(26,Itens!$M$2:$M$501,0))),"")</f>
        <v/>
      </c>
      <c r="C38" s="17">
        <f>IFERROR(IF(INDEX(Itens!$E$2:$E$501,MATCH(26,Itens!$M$2:$M$501,0))="","",INDEX(Itens!$E$2:$E$501,MATCH(26,Itens!$M$2:$M$501,0))),"")</f>
        <v/>
      </c>
      <c r="D38" s="17">
        <f>IFERROR(IF(INDEX(Itens!$F$2:$F$501,MATCH(26,Itens!$M$2:$M$501,0))="","",INDEX(Itens!$F$2:$F$501,MATCH(26,Itens!$M$2:$M$501,0))),"")</f>
        <v/>
      </c>
      <c r="E38" s="17">
        <f>IFERROR(IF(INDEX(Itens!$G$2:$G$501,MATCH(26,Itens!$M$2:$M$501,0))="","",INDEX(Itens!$G$2:$G$501,MATCH(26,Itens!$M$2:$M$501,0))),"")</f>
        <v/>
      </c>
      <c r="F38" s="17">
        <f>IFERROR(IF(INDEX(Itens!$I$2:$I$501,MATCH(26,Itens!$M$2:$M$501,0))="","",INDEX(Itens!$I$2:$I$501,MATCH(26,Itens!$M$2:$M$501,0))),"")</f>
        <v/>
      </c>
      <c r="G38" s="17">
        <f>IFERROR(IF(INDEX(Itens!$J$2:$J$501,MATCH(26,Itens!$M$2:$M$501,0))="","",INDEX(Itens!$J$2:$J$501,MATCH(26,Itens!$M$2:$M$501,0))),"")</f>
        <v/>
      </c>
      <c r="H38" s="18">
        <f>IFERROR(IF(INDEX(Itens!$K$2:$K$501,MATCH(26,Itens!$M$2:$M$501,0))="","",INDEX(Itens!$K$2:$K$501,MATCH(26,Itens!$M$2:$M$501,0))),"")</f>
        <v/>
      </c>
      <c r="I38" s="17">
        <f>IFERROR(IF(INDEX(Itens!$L$2:$L$501,MATCH(26,Itens!$M$2:$M$501,0))="","",INDEX(Itens!$L$2:$L$501,MATCH(26,Itens!$M$2:$M$501,0))),"")</f>
        <v/>
      </c>
    </row>
    <row r="39">
      <c r="A39" s="17">
        <f>IFERROR(IF(INDEX(Itens!$A$2:$A$501,MATCH(27,Itens!$M$2:$M$501,0))="","",INDEX(Itens!$A$2:$A$501,MATCH(27,Itens!$M$2:$M$501,0))),"")</f>
        <v/>
      </c>
      <c r="B39" s="17">
        <f>IFERROR(IF(INDEX(Itens!$C$2:$C$501,MATCH(27,Itens!$M$2:$M$501,0))="","",INDEX(Itens!$C$2:$C$501,MATCH(27,Itens!$M$2:$M$501,0))),"")</f>
        <v/>
      </c>
      <c r="C39" s="17">
        <f>IFERROR(IF(INDEX(Itens!$E$2:$E$501,MATCH(27,Itens!$M$2:$M$501,0))="","",INDEX(Itens!$E$2:$E$501,MATCH(27,Itens!$M$2:$M$501,0))),"")</f>
        <v/>
      </c>
      <c r="D39" s="17">
        <f>IFERROR(IF(INDEX(Itens!$F$2:$F$501,MATCH(27,Itens!$M$2:$M$501,0))="","",INDEX(Itens!$F$2:$F$501,MATCH(27,Itens!$M$2:$M$501,0))),"")</f>
        <v/>
      </c>
      <c r="E39" s="17">
        <f>IFERROR(IF(INDEX(Itens!$G$2:$G$501,MATCH(27,Itens!$M$2:$M$501,0))="","",INDEX(Itens!$G$2:$G$501,MATCH(27,Itens!$M$2:$M$501,0))),"")</f>
        <v/>
      </c>
      <c r="F39" s="17">
        <f>IFERROR(IF(INDEX(Itens!$I$2:$I$501,MATCH(27,Itens!$M$2:$M$501,0))="","",INDEX(Itens!$I$2:$I$501,MATCH(27,Itens!$M$2:$M$501,0))),"")</f>
        <v/>
      </c>
      <c r="G39" s="17">
        <f>IFERROR(IF(INDEX(Itens!$J$2:$J$501,MATCH(27,Itens!$M$2:$M$501,0))="","",INDEX(Itens!$J$2:$J$501,MATCH(27,Itens!$M$2:$M$501,0))),"")</f>
        <v/>
      </c>
      <c r="H39" s="18">
        <f>IFERROR(IF(INDEX(Itens!$K$2:$K$501,MATCH(27,Itens!$M$2:$M$501,0))="","",INDEX(Itens!$K$2:$K$501,MATCH(27,Itens!$M$2:$M$501,0))),"")</f>
        <v/>
      </c>
      <c r="I39" s="17">
        <f>IFERROR(IF(INDEX(Itens!$L$2:$L$501,MATCH(27,Itens!$M$2:$M$501,0))="","",INDEX(Itens!$L$2:$L$501,MATCH(27,Itens!$M$2:$M$501,0))),"")</f>
        <v/>
      </c>
    </row>
    <row r="40">
      <c r="A40" s="17">
        <f>IFERROR(IF(INDEX(Itens!$A$2:$A$501,MATCH(28,Itens!$M$2:$M$501,0))="","",INDEX(Itens!$A$2:$A$501,MATCH(28,Itens!$M$2:$M$501,0))),"")</f>
        <v/>
      </c>
      <c r="B40" s="17">
        <f>IFERROR(IF(INDEX(Itens!$C$2:$C$501,MATCH(28,Itens!$M$2:$M$501,0))="","",INDEX(Itens!$C$2:$C$501,MATCH(28,Itens!$M$2:$M$501,0))),"")</f>
        <v/>
      </c>
      <c r="C40" s="17">
        <f>IFERROR(IF(INDEX(Itens!$E$2:$E$501,MATCH(28,Itens!$M$2:$M$501,0))="","",INDEX(Itens!$E$2:$E$501,MATCH(28,Itens!$M$2:$M$501,0))),"")</f>
        <v/>
      </c>
      <c r="D40" s="17">
        <f>IFERROR(IF(INDEX(Itens!$F$2:$F$501,MATCH(28,Itens!$M$2:$M$501,0))="","",INDEX(Itens!$F$2:$F$501,MATCH(28,Itens!$M$2:$M$501,0))),"")</f>
        <v/>
      </c>
      <c r="E40" s="17">
        <f>IFERROR(IF(INDEX(Itens!$G$2:$G$501,MATCH(28,Itens!$M$2:$M$501,0))="","",INDEX(Itens!$G$2:$G$501,MATCH(28,Itens!$M$2:$M$501,0))),"")</f>
        <v/>
      </c>
      <c r="F40" s="17">
        <f>IFERROR(IF(INDEX(Itens!$I$2:$I$501,MATCH(28,Itens!$M$2:$M$501,0))="","",INDEX(Itens!$I$2:$I$501,MATCH(28,Itens!$M$2:$M$501,0))),"")</f>
        <v/>
      </c>
      <c r="G40" s="17">
        <f>IFERROR(IF(INDEX(Itens!$J$2:$J$501,MATCH(28,Itens!$M$2:$M$501,0))="","",INDEX(Itens!$J$2:$J$501,MATCH(28,Itens!$M$2:$M$501,0))),"")</f>
        <v/>
      </c>
      <c r="H40" s="18">
        <f>IFERROR(IF(INDEX(Itens!$K$2:$K$501,MATCH(28,Itens!$M$2:$M$501,0))="","",INDEX(Itens!$K$2:$K$501,MATCH(28,Itens!$M$2:$M$501,0))),"")</f>
        <v/>
      </c>
      <c r="I40" s="17">
        <f>IFERROR(IF(INDEX(Itens!$L$2:$L$501,MATCH(28,Itens!$M$2:$M$501,0))="","",INDEX(Itens!$L$2:$L$501,MATCH(28,Itens!$M$2:$M$501,0))),"")</f>
        <v/>
      </c>
    </row>
    <row r="41">
      <c r="A41" s="17">
        <f>IFERROR(IF(INDEX(Itens!$A$2:$A$501,MATCH(29,Itens!$M$2:$M$501,0))="","",INDEX(Itens!$A$2:$A$501,MATCH(29,Itens!$M$2:$M$501,0))),"")</f>
        <v/>
      </c>
      <c r="B41" s="17">
        <f>IFERROR(IF(INDEX(Itens!$C$2:$C$501,MATCH(29,Itens!$M$2:$M$501,0))="","",INDEX(Itens!$C$2:$C$501,MATCH(29,Itens!$M$2:$M$501,0))),"")</f>
        <v/>
      </c>
      <c r="C41" s="17">
        <f>IFERROR(IF(INDEX(Itens!$E$2:$E$501,MATCH(29,Itens!$M$2:$M$501,0))="","",INDEX(Itens!$E$2:$E$501,MATCH(29,Itens!$M$2:$M$501,0))),"")</f>
        <v/>
      </c>
      <c r="D41" s="17">
        <f>IFERROR(IF(INDEX(Itens!$F$2:$F$501,MATCH(29,Itens!$M$2:$M$501,0))="","",INDEX(Itens!$F$2:$F$501,MATCH(29,Itens!$M$2:$M$501,0))),"")</f>
        <v/>
      </c>
      <c r="E41" s="17">
        <f>IFERROR(IF(INDEX(Itens!$G$2:$G$501,MATCH(29,Itens!$M$2:$M$501,0))="","",INDEX(Itens!$G$2:$G$501,MATCH(29,Itens!$M$2:$M$501,0))),"")</f>
        <v/>
      </c>
      <c r="F41" s="17">
        <f>IFERROR(IF(INDEX(Itens!$I$2:$I$501,MATCH(29,Itens!$M$2:$M$501,0))="","",INDEX(Itens!$I$2:$I$501,MATCH(29,Itens!$M$2:$M$501,0))),"")</f>
        <v/>
      </c>
      <c r="G41" s="17">
        <f>IFERROR(IF(INDEX(Itens!$J$2:$J$501,MATCH(29,Itens!$M$2:$M$501,0))="","",INDEX(Itens!$J$2:$J$501,MATCH(29,Itens!$M$2:$M$501,0))),"")</f>
        <v/>
      </c>
      <c r="H41" s="18">
        <f>IFERROR(IF(INDEX(Itens!$K$2:$K$501,MATCH(29,Itens!$M$2:$M$501,0))="","",INDEX(Itens!$K$2:$K$501,MATCH(29,Itens!$M$2:$M$501,0))),"")</f>
        <v/>
      </c>
      <c r="I41" s="17">
        <f>IFERROR(IF(INDEX(Itens!$L$2:$L$501,MATCH(29,Itens!$M$2:$M$501,0))="","",INDEX(Itens!$L$2:$L$501,MATCH(29,Itens!$M$2:$M$501,0))),"")</f>
        <v/>
      </c>
    </row>
    <row r="42">
      <c r="A42" s="17">
        <f>IFERROR(IF(INDEX(Itens!$A$2:$A$501,MATCH(30,Itens!$M$2:$M$501,0))="","",INDEX(Itens!$A$2:$A$501,MATCH(30,Itens!$M$2:$M$501,0))),"")</f>
        <v/>
      </c>
      <c r="B42" s="17">
        <f>IFERROR(IF(INDEX(Itens!$C$2:$C$501,MATCH(30,Itens!$M$2:$M$501,0))="","",INDEX(Itens!$C$2:$C$501,MATCH(30,Itens!$M$2:$M$501,0))),"")</f>
        <v/>
      </c>
      <c r="C42" s="17">
        <f>IFERROR(IF(INDEX(Itens!$E$2:$E$501,MATCH(30,Itens!$M$2:$M$501,0))="","",INDEX(Itens!$E$2:$E$501,MATCH(30,Itens!$M$2:$M$501,0))),"")</f>
        <v/>
      </c>
      <c r="D42" s="17">
        <f>IFERROR(IF(INDEX(Itens!$F$2:$F$501,MATCH(30,Itens!$M$2:$M$501,0))="","",INDEX(Itens!$F$2:$F$501,MATCH(30,Itens!$M$2:$M$501,0))),"")</f>
        <v/>
      </c>
      <c r="E42" s="17">
        <f>IFERROR(IF(INDEX(Itens!$G$2:$G$501,MATCH(30,Itens!$M$2:$M$501,0))="","",INDEX(Itens!$G$2:$G$501,MATCH(30,Itens!$M$2:$M$501,0))),"")</f>
        <v/>
      </c>
      <c r="F42" s="17">
        <f>IFERROR(IF(INDEX(Itens!$I$2:$I$501,MATCH(30,Itens!$M$2:$M$501,0))="","",INDEX(Itens!$I$2:$I$501,MATCH(30,Itens!$M$2:$M$501,0))),"")</f>
        <v/>
      </c>
      <c r="G42" s="17">
        <f>IFERROR(IF(INDEX(Itens!$J$2:$J$501,MATCH(30,Itens!$M$2:$M$501,0))="","",INDEX(Itens!$J$2:$J$501,MATCH(30,Itens!$M$2:$M$501,0))),"")</f>
        <v/>
      </c>
      <c r="H42" s="18">
        <f>IFERROR(IF(INDEX(Itens!$K$2:$K$501,MATCH(30,Itens!$M$2:$M$501,0))="","",INDEX(Itens!$K$2:$K$501,MATCH(30,Itens!$M$2:$M$501,0))),"")</f>
        <v/>
      </c>
      <c r="I42" s="17">
        <f>IFERROR(IF(INDEX(Itens!$L$2:$L$501,MATCH(30,Itens!$M$2:$M$501,0))="","",INDEX(Itens!$L$2:$L$501,MATCH(30,Itens!$M$2:$M$501,0))),"")</f>
        <v/>
      </c>
    </row>
    <row r="43">
      <c r="A43" s="17">
        <f>IFERROR(IF(INDEX(Itens!$A$2:$A$501,MATCH(31,Itens!$M$2:$M$501,0))="","",INDEX(Itens!$A$2:$A$501,MATCH(31,Itens!$M$2:$M$501,0))),"")</f>
        <v/>
      </c>
      <c r="B43" s="17">
        <f>IFERROR(IF(INDEX(Itens!$C$2:$C$501,MATCH(31,Itens!$M$2:$M$501,0))="","",INDEX(Itens!$C$2:$C$501,MATCH(31,Itens!$M$2:$M$501,0))),"")</f>
        <v/>
      </c>
      <c r="C43" s="17">
        <f>IFERROR(IF(INDEX(Itens!$E$2:$E$501,MATCH(31,Itens!$M$2:$M$501,0))="","",INDEX(Itens!$E$2:$E$501,MATCH(31,Itens!$M$2:$M$501,0))),"")</f>
        <v/>
      </c>
      <c r="D43" s="17">
        <f>IFERROR(IF(INDEX(Itens!$F$2:$F$501,MATCH(31,Itens!$M$2:$M$501,0))="","",INDEX(Itens!$F$2:$F$501,MATCH(31,Itens!$M$2:$M$501,0))),"")</f>
        <v/>
      </c>
      <c r="E43" s="17">
        <f>IFERROR(IF(INDEX(Itens!$G$2:$G$501,MATCH(31,Itens!$M$2:$M$501,0))="","",INDEX(Itens!$G$2:$G$501,MATCH(31,Itens!$M$2:$M$501,0))),"")</f>
        <v/>
      </c>
      <c r="F43" s="17">
        <f>IFERROR(IF(INDEX(Itens!$I$2:$I$501,MATCH(31,Itens!$M$2:$M$501,0))="","",INDEX(Itens!$I$2:$I$501,MATCH(31,Itens!$M$2:$M$501,0))),"")</f>
        <v/>
      </c>
      <c r="G43" s="17">
        <f>IFERROR(IF(INDEX(Itens!$J$2:$J$501,MATCH(31,Itens!$M$2:$M$501,0))="","",INDEX(Itens!$J$2:$J$501,MATCH(31,Itens!$M$2:$M$501,0))),"")</f>
        <v/>
      </c>
      <c r="H43" s="18">
        <f>IFERROR(IF(INDEX(Itens!$K$2:$K$501,MATCH(31,Itens!$M$2:$M$501,0))="","",INDEX(Itens!$K$2:$K$501,MATCH(31,Itens!$M$2:$M$501,0))),"")</f>
        <v/>
      </c>
      <c r="I43" s="17">
        <f>IFERROR(IF(INDEX(Itens!$L$2:$L$501,MATCH(31,Itens!$M$2:$M$501,0))="","",INDEX(Itens!$L$2:$L$501,MATCH(31,Itens!$M$2:$M$501,0))),"")</f>
        <v/>
      </c>
    </row>
    <row r="44">
      <c r="A44" s="17">
        <f>IFERROR(IF(INDEX(Itens!$A$2:$A$501,MATCH(32,Itens!$M$2:$M$501,0))="","",INDEX(Itens!$A$2:$A$501,MATCH(32,Itens!$M$2:$M$501,0))),"")</f>
        <v/>
      </c>
      <c r="B44" s="17">
        <f>IFERROR(IF(INDEX(Itens!$C$2:$C$501,MATCH(32,Itens!$M$2:$M$501,0))="","",INDEX(Itens!$C$2:$C$501,MATCH(32,Itens!$M$2:$M$501,0))),"")</f>
        <v/>
      </c>
      <c r="C44" s="17">
        <f>IFERROR(IF(INDEX(Itens!$E$2:$E$501,MATCH(32,Itens!$M$2:$M$501,0))="","",INDEX(Itens!$E$2:$E$501,MATCH(32,Itens!$M$2:$M$501,0))),"")</f>
        <v/>
      </c>
      <c r="D44" s="17">
        <f>IFERROR(IF(INDEX(Itens!$F$2:$F$501,MATCH(32,Itens!$M$2:$M$501,0))="","",INDEX(Itens!$F$2:$F$501,MATCH(32,Itens!$M$2:$M$501,0))),"")</f>
        <v/>
      </c>
      <c r="E44" s="17">
        <f>IFERROR(IF(INDEX(Itens!$G$2:$G$501,MATCH(32,Itens!$M$2:$M$501,0))="","",INDEX(Itens!$G$2:$G$501,MATCH(32,Itens!$M$2:$M$501,0))),"")</f>
        <v/>
      </c>
      <c r="F44" s="17">
        <f>IFERROR(IF(INDEX(Itens!$I$2:$I$501,MATCH(32,Itens!$M$2:$M$501,0))="","",INDEX(Itens!$I$2:$I$501,MATCH(32,Itens!$M$2:$M$501,0))),"")</f>
        <v/>
      </c>
      <c r="G44" s="17">
        <f>IFERROR(IF(INDEX(Itens!$J$2:$J$501,MATCH(32,Itens!$M$2:$M$501,0))="","",INDEX(Itens!$J$2:$J$501,MATCH(32,Itens!$M$2:$M$501,0))),"")</f>
        <v/>
      </c>
      <c r="H44" s="18">
        <f>IFERROR(IF(INDEX(Itens!$K$2:$K$501,MATCH(32,Itens!$M$2:$M$501,0))="","",INDEX(Itens!$K$2:$K$501,MATCH(32,Itens!$M$2:$M$501,0))),"")</f>
        <v/>
      </c>
      <c r="I44" s="17">
        <f>IFERROR(IF(INDEX(Itens!$L$2:$L$501,MATCH(32,Itens!$M$2:$M$501,0))="","",INDEX(Itens!$L$2:$L$501,MATCH(32,Itens!$M$2:$M$501,0))),"")</f>
        <v/>
      </c>
    </row>
    <row r="45">
      <c r="A45" s="17">
        <f>IFERROR(IF(INDEX(Itens!$A$2:$A$501,MATCH(33,Itens!$M$2:$M$501,0))="","",INDEX(Itens!$A$2:$A$501,MATCH(33,Itens!$M$2:$M$501,0))),"")</f>
        <v/>
      </c>
      <c r="B45" s="17">
        <f>IFERROR(IF(INDEX(Itens!$C$2:$C$501,MATCH(33,Itens!$M$2:$M$501,0))="","",INDEX(Itens!$C$2:$C$501,MATCH(33,Itens!$M$2:$M$501,0))),"")</f>
        <v/>
      </c>
      <c r="C45" s="17">
        <f>IFERROR(IF(INDEX(Itens!$E$2:$E$501,MATCH(33,Itens!$M$2:$M$501,0))="","",INDEX(Itens!$E$2:$E$501,MATCH(33,Itens!$M$2:$M$501,0))),"")</f>
        <v/>
      </c>
      <c r="D45" s="17">
        <f>IFERROR(IF(INDEX(Itens!$F$2:$F$501,MATCH(33,Itens!$M$2:$M$501,0))="","",INDEX(Itens!$F$2:$F$501,MATCH(33,Itens!$M$2:$M$501,0))),"")</f>
        <v/>
      </c>
      <c r="E45" s="17">
        <f>IFERROR(IF(INDEX(Itens!$G$2:$G$501,MATCH(33,Itens!$M$2:$M$501,0))="","",INDEX(Itens!$G$2:$G$501,MATCH(33,Itens!$M$2:$M$501,0))),"")</f>
        <v/>
      </c>
      <c r="F45" s="17">
        <f>IFERROR(IF(INDEX(Itens!$I$2:$I$501,MATCH(33,Itens!$M$2:$M$501,0))="","",INDEX(Itens!$I$2:$I$501,MATCH(33,Itens!$M$2:$M$501,0))),"")</f>
        <v/>
      </c>
      <c r="G45" s="17">
        <f>IFERROR(IF(INDEX(Itens!$J$2:$J$501,MATCH(33,Itens!$M$2:$M$501,0))="","",INDEX(Itens!$J$2:$J$501,MATCH(33,Itens!$M$2:$M$501,0))),"")</f>
        <v/>
      </c>
      <c r="H45" s="18">
        <f>IFERROR(IF(INDEX(Itens!$K$2:$K$501,MATCH(33,Itens!$M$2:$M$501,0))="","",INDEX(Itens!$K$2:$K$501,MATCH(33,Itens!$M$2:$M$501,0))),"")</f>
        <v/>
      </c>
      <c r="I45" s="17">
        <f>IFERROR(IF(INDEX(Itens!$L$2:$L$501,MATCH(33,Itens!$M$2:$M$501,0))="","",INDEX(Itens!$L$2:$L$501,MATCH(33,Itens!$M$2:$M$501,0))),"")</f>
        <v/>
      </c>
    </row>
    <row r="46">
      <c r="A46" s="17">
        <f>IFERROR(IF(INDEX(Itens!$A$2:$A$501,MATCH(34,Itens!$M$2:$M$501,0))="","",INDEX(Itens!$A$2:$A$501,MATCH(34,Itens!$M$2:$M$501,0))),"")</f>
        <v/>
      </c>
      <c r="B46" s="17">
        <f>IFERROR(IF(INDEX(Itens!$C$2:$C$501,MATCH(34,Itens!$M$2:$M$501,0))="","",INDEX(Itens!$C$2:$C$501,MATCH(34,Itens!$M$2:$M$501,0))),"")</f>
        <v/>
      </c>
      <c r="C46" s="17">
        <f>IFERROR(IF(INDEX(Itens!$E$2:$E$501,MATCH(34,Itens!$M$2:$M$501,0))="","",INDEX(Itens!$E$2:$E$501,MATCH(34,Itens!$M$2:$M$501,0))),"")</f>
        <v/>
      </c>
      <c r="D46" s="17">
        <f>IFERROR(IF(INDEX(Itens!$F$2:$F$501,MATCH(34,Itens!$M$2:$M$501,0))="","",INDEX(Itens!$F$2:$F$501,MATCH(34,Itens!$M$2:$M$501,0))),"")</f>
        <v/>
      </c>
      <c r="E46" s="17">
        <f>IFERROR(IF(INDEX(Itens!$G$2:$G$501,MATCH(34,Itens!$M$2:$M$501,0))="","",INDEX(Itens!$G$2:$G$501,MATCH(34,Itens!$M$2:$M$501,0))),"")</f>
        <v/>
      </c>
      <c r="F46" s="17">
        <f>IFERROR(IF(INDEX(Itens!$I$2:$I$501,MATCH(34,Itens!$M$2:$M$501,0))="","",INDEX(Itens!$I$2:$I$501,MATCH(34,Itens!$M$2:$M$501,0))),"")</f>
        <v/>
      </c>
      <c r="G46" s="17">
        <f>IFERROR(IF(INDEX(Itens!$J$2:$J$501,MATCH(34,Itens!$M$2:$M$501,0))="","",INDEX(Itens!$J$2:$J$501,MATCH(34,Itens!$M$2:$M$501,0))),"")</f>
        <v/>
      </c>
      <c r="H46" s="18">
        <f>IFERROR(IF(INDEX(Itens!$K$2:$K$501,MATCH(34,Itens!$M$2:$M$501,0))="","",INDEX(Itens!$K$2:$K$501,MATCH(34,Itens!$M$2:$M$501,0))),"")</f>
        <v/>
      </c>
      <c r="I46" s="17">
        <f>IFERROR(IF(INDEX(Itens!$L$2:$L$501,MATCH(34,Itens!$M$2:$M$501,0))="","",INDEX(Itens!$L$2:$L$501,MATCH(34,Itens!$M$2:$M$501,0))),"")</f>
        <v/>
      </c>
    </row>
    <row r="47">
      <c r="A47" s="17">
        <f>IFERROR(IF(INDEX(Itens!$A$2:$A$501,MATCH(35,Itens!$M$2:$M$501,0))="","",INDEX(Itens!$A$2:$A$501,MATCH(35,Itens!$M$2:$M$501,0))),"")</f>
        <v/>
      </c>
      <c r="B47" s="17">
        <f>IFERROR(IF(INDEX(Itens!$C$2:$C$501,MATCH(35,Itens!$M$2:$M$501,0))="","",INDEX(Itens!$C$2:$C$501,MATCH(35,Itens!$M$2:$M$501,0))),"")</f>
        <v/>
      </c>
      <c r="C47" s="17">
        <f>IFERROR(IF(INDEX(Itens!$E$2:$E$501,MATCH(35,Itens!$M$2:$M$501,0))="","",INDEX(Itens!$E$2:$E$501,MATCH(35,Itens!$M$2:$M$501,0))),"")</f>
        <v/>
      </c>
      <c r="D47" s="17">
        <f>IFERROR(IF(INDEX(Itens!$F$2:$F$501,MATCH(35,Itens!$M$2:$M$501,0))="","",INDEX(Itens!$F$2:$F$501,MATCH(35,Itens!$M$2:$M$501,0))),"")</f>
        <v/>
      </c>
      <c r="E47" s="17">
        <f>IFERROR(IF(INDEX(Itens!$G$2:$G$501,MATCH(35,Itens!$M$2:$M$501,0))="","",INDEX(Itens!$G$2:$G$501,MATCH(35,Itens!$M$2:$M$501,0))),"")</f>
        <v/>
      </c>
      <c r="F47" s="17">
        <f>IFERROR(IF(INDEX(Itens!$I$2:$I$501,MATCH(35,Itens!$M$2:$M$501,0))="","",INDEX(Itens!$I$2:$I$501,MATCH(35,Itens!$M$2:$M$501,0))),"")</f>
        <v/>
      </c>
      <c r="G47" s="17">
        <f>IFERROR(IF(INDEX(Itens!$J$2:$J$501,MATCH(35,Itens!$M$2:$M$501,0))="","",INDEX(Itens!$J$2:$J$501,MATCH(35,Itens!$M$2:$M$501,0))),"")</f>
        <v/>
      </c>
      <c r="H47" s="18">
        <f>IFERROR(IF(INDEX(Itens!$K$2:$K$501,MATCH(35,Itens!$M$2:$M$501,0))="","",INDEX(Itens!$K$2:$K$501,MATCH(35,Itens!$M$2:$M$501,0))),"")</f>
        <v/>
      </c>
      <c r="I47" s="17">
        <f>IFERROR(IF(INDEX(Itens!$L$2:$L$501,MATCH(35,Itens!$M$2:$M$501,0))="","",INDEX(Itens!$L$2:$L$501,MATCH(35,Itens!$M$2:$M$501,0))),"")</f>
        <v/>
      </c>
    </row>
    <row r="48">
      <c r="A48" s="17">
        <f>IFERROR(IF(INDEX(Itens!$A$2:$A$501,MATCH(36,Itens!$M$2:$M$501,0))="","",INDEX(Itens!$A$2:$A$501,MATCH(36,Itens!$M$2:$M$501,0))),"")</f>
        <v/>
      </c>
      <c r="B48" s="17">
        <f>IFERROR(IF(INDEX(Itens!$C$2:$C$501,MATCH(36,Itens!$M$2:$M$501,0))="","",INDEX(Itens!$C$2:$C$501,MATCH(36,Itens!$M$2:$M$501,0))),"")</f>
        <v/>
      </c>
      <c r="C48" s="17">
        <f>IFERROR(IF(INDEX(Itens!$E$2:$E$501,MATCH(36,Itens!$M$2:$M$501,0))="","",INDEX(Itens!$E$2:$E$501,MATCH(36,Itens!$M$2:$M$501,0))),"")</f>
        <v/>
      </c>
      <c r="D48" s="17">
        <f>IFERROR(IF(INDEX(Itens!$F$2:$F$501,MATCH(36,Itens!$M$2:$M$501,0))="","",INDEX(Itens!$F$2:$F$501,MATCH(36,Itens!$M$2:$M$501,0))),"")</f>
        <v/>
      </c>
      <c r="E48" s="17">
        <f>IFERROR(IF(INDEX(Itens!$G$2:$G$501,MATCH(36,Itens!$M$2:$M$501,0))="","",INDEX(Itens!$G$2:$G$501,MATCH(36,Itens!$M$2:$M$501,0))),"")</f>
        <v/>
      </c>
      <c r="F48" s="17">
        <f>IFERROR(IF(INDEX(Itens!$I$2:$I$501,MATCH(36,Itens!$M$2:$M$501,0))="","",INDEX(Itens!$I$2:$I$501,MATCH(36,Itens!$M$2:$M$501,0))),"")</f>
        <v/>
      </c>
      <c r="G48" s="17">
        <f>IFERROR(IF(INDEX(Itens!$J$2:$J$501,MATCH(36,Itens!$M$2:$M$501,0))="","",INDEX(Itens!$J$2:$J$501,MATCH(36,Itens!$M$2:$M$501,0))),"")</f>
        <v/>
      </c>
      <c r="H48" s="18">
        <f>IFERROR(IF(INDEX(Itens!$K$2:$K$501,MATCH(36,Itens!$M$2:$M$501,0))="","",INDEX(Itens!$K$2:$K$501,MATCH(36,Itens!$M$2:$M$501,0))),"")</f>
        <v/>
      </c>
      <c r="I48" s="17">
        <f>IFERROR(IF(INDEX(Itens!$L$2:$L$501,MATCH(36,Itens!$M$2:$M$501,0))="","",INDEX(Itens!$L$2:$L$501,MATCH(36,Itens!$M$2:$M$501,0))),"")</f>
        <v/>
      </c>
    </row>
    <row r="49">
      <c r="A49" s="17">
        <f>IFERROR(IF(INDEX(Itens!$A$2:$A$501,MATCH(37,Itens!$M$2:$M$501,0))="","",INDEX(Itens!$A$2:$A$501,MATCH(37,Itens!$M$2:$M$501,0))),"")</f>
        <v/>
      </c>
      <c r="B49" s="17">
        <f>IFERROR(IF(INDEX(Itens!$C$2:$C$501,MATCH(37,Itens!$M$2:$M$501,0))="","",INDEX(Itens!$C$2:$C$501,MATCH(37,Itens!$M$2:$M$501,0))),"")</f>
        <v/>
      </c>
      <c r="C49" s="17">
        <f>IFERROR(IF(INDEX(Itens!$E$2:$E$501,MATCH(37,Itens!$M$2:$M$501,0))="","",INDEX(Itens!$E$2:$E$501,MATCH(37,Itens!$M$2:$M$501,0))),"")</f>
        <v/>
      </c>
      <c r="D49" s="17">
        <f>IFERROR(IF(INDEX(Itens!$F$2:$F$501,MATCH(37,Itens!$M$2:$M$501,0))="","",INDEX(Itens!$F$2:$F$501,MATCH(37,Itens!$M$2:$M$501,0))),"")</f>
        <v/>
      </c>
      <c r="E49" s="17">
        <f>IFERROR(IF(INDEX(Itens!$G$2:$G$501,MATCH(37,Itens!$M$2:$M$501,0))="","",INDEX(Itens!$G$2:$G$501,MATCH(37,Itens!$M$2:$M$501,0))),"")</f>
        <v/>
      </c>
      <c r="F49" s="17">
        <f>IFERROR(IF(INDEX(Itens!$I$2:$I$501,MATCH(37,Itens!$M$2:$M$501,0))="","",INDEX(Itens!$I$2:$I$501,MATCH(37,Itens!$M$2:$M$501,0))),"")</f>
        <v/>
      </c>
      <c r="G49" s="17">
        <f>IFERROR(IF(INDEX(Itens!$J$2:$J$501,MATCH(37,Itens!$M$2:$M$501,0))="","",INDEX(Itens!$J$2:$J$501,MATCH(37,Itens!$M$2:$M$501,0))),"")</f>
        <v/>
      </c>
      <c r="H49" s="18">
        <f>IFERROR(IF(INDEX(Itens!$K$2:$K$501,MATCH(37,Itens!$M$2:$M$501,0))="","",INDEX(Itens!$K$2:$K$501,MATCH(37,Itens!$M$2:$M$501,0))),"")</f>
        <v/>
      </c>
      <c r="I49" s="17">
        <f>IFERROR(IF(INDEX(Itens!$L$2:$L$501,MATCH(37,Itens!$M$2:$M$501,0))="","",INDEX(Itens!$L$2:$L$501,MATCH(37,Itens!$M$2:$M$501,0))),"")</f>
        <v/>
      </c>
    </row>
    <row r="50">
      <c r="A50" s="17">
        <f>IFERROR(IF(INDEX(Itens!$A$2:$A$501,MATCH(38,Itens!$M$2:$M$501,0))="","",INDEX(Itens!$A$2:$A$501,MATCH(38,Itens!$M$2:$M$501,0))),"")</f>
        <v/>
      </c>
      <c r="B50" s="17">
        <f>IFERROR(IF(INDEX(Itens!$C$2:$C$501,MATCH(38,Itens!$M$2:$M$501,0))="","",INDEX(Itens!$C$2:$C$501,MATCH(38,Itens!$M$2:$M$501,0))),"")</f>
        <v/>
      </c>
      <c r="C50" s="17">
        <f>IFERROR(IF(INDEX(Itens!$E$2:$E$501,MATCH(38,Itens!$M$2:$M$501,0))="","",INDEX(Itens!$E$2:$E$501,MATCH(38,Itens!$M$2:$M$501,0))),"")</f>
        <v/>
      </c>
      <c r="D50" s="17">
        <f>IFERROR(IF(INDEX(Itens!$F$2:$F$501,MATCH(38,Itens!$M$2:$M$501,0))="","",INDEX(Itens!$F$2:$F$501,MATCH(38,Itens!$M$2:$M$501,0))),"")</f>
        <v/>
      </c>
      <c r="E50" s="17">
        <f>IFERROR(IF(INDEX(Itens!$G$2:$G$501,MATCH(38,Itens!$M$2:$M$501,0))="","",INDEX(Itens!$G$2:$G$501,MATCH(38,Itens!$M$2:$M$501,0))),"")</f>
        <v/>
      </c>
      <c r="F50" s="17">
        <f>IFERROR(IF(INDEX(Itens!$I$2:$I$501,MATCH(38,Itens!$M$2:$M$501,0))="","",INDEX(Itens!$I$2:$I$501,MATCH(38,Itens!$M$2:$M$501,0))),"")</f>
        <v/>
      </c>
      <c r="G50" s="17">
        <f>IFERROR(IF(INDEX(Itens!$J$2:$J$501,MATCH(38,Itens!$M$2:$M$501,0))="","",INDEX(Itens!$J$2:$J$501,MATCH(38,Itens!$M$2:$M$501,0))),"")</f>
        <v/>
      </c>
      <c r="H50" s="18">
        <f>IFERROR(IF(INDEX(Itens!$K$2:$K$501,MATCH(38,Itens!$M$2:$M$501,0))="","",INDEX(Itens!$K$2:$K$501,MATCH(38,Itens!$M$2:$M$501,0))),"")</f>
        <v/>
      </c>
      <c r="I50" s="17">
        <f>IFERROR(IF(INDEX(Itens!$L$2:$L$501,MATCH(38,Itens!$M$2:$M$501,0))="","",INDEX(Itens!$L$2:$L$501,MATCH(38,Itens!$M$2:$M$501,0))),"")</f>
        <v/>
      </c>
    </row>
    <row r="51">
      <c r="A51" s="17">
        <f>IFERROR(IF(INDEX(Itens!$A$2:$A$501,MATCH(39,Itens!$M$2:$M$501,0))="","",INDEX(Itens!$A$2:$A$501,MATCH(39,Itens!$M$2:$M$501,0))),"")</f>
        <v/>
      </c>
      <c r="B51" s="17">
        <f>IFERROR(IF(INDEX(Itens!$C$2:$C$501,MATCH(39,Itens!$M$2:$M$501,0))="","",INDEX(Itens!$C$2:$C$501,MATCH(39,Itens!$M$2:$M$501,0))),"")</f>
        <v/>
      </c>
      <c r="C51" s="17">
        <f>IFERROR(IF(INDEX(Itens!$E$2:$E$501,MATCH(39,Itens!$M$2:$M$501,0))="","",INDEX(Itens!$E$2:$E$501,MATCH(39,Itens!$M$2:$M$501,0))),"")</f>
        <v/>
      </c>
      <c r="D51" s="17">
        <f>IFERROR(IF(INDEX(Itens!$F$2:$F$501,MATCH(39,Itens!$M$2:$M$501,0))="","",INDEX(Itens!$F$2:$F$501,MATCH(39,Itens!$M$2:$M$501,0))),"")</f>
        <v/>
      </c>
      <c r="E51" s="17">
        <f>IFERROR(IF(INDEX(Itens!$G$2:$G$501,MATCH(39,Itens!$M$2:$M$501,0))="","",INDEX(Itens!$G$2:$G$501,MATCH(39,Itens!$M$2:$M$501,0))),"")</f>
        <v/>
      </c>
      <c r="F51" s="17">
        <f>IFERROR(IF(INDEX(Itens!$I$2:$I$501,MATCH(39,Itens!$M$2:$M$501,0))="","",INDEX(Itens!$I$2:$I$501,MATCH(39,Itens!$M$2:$M$501,0))),"")</f>
        <v/>
      </c>
      <c r="G51" s="17">
        <f>IFERROR(IF(INDEX(Itens!$J$2:$J$501,MATCH(39,Itens!$M$2:$M$501,0))="","",INDEX(Itens!$J$2:$J$501,MATCH(39,Itens!$M$2:$M$501,0))),"")</f>
        <v/>
      </c>
      <c r="H51" s="18">
        <f>IFERROR(IF(INDEX(Itens!$K$2:$K$501,MATCH(39,Itens!$M$2:$M$501,0))="","",INDEX(Itens!$K$2:$K$501,MATCH(39,Itens!$M$2:$M$501,0))),"")</f>
        <v/>
      </c>
      <c r="I51" s="17">
        <f>IFERROR(IF(INDEX(Itens!$L$2:$L$501,MATCH(39,Itens!$M$2:$M$501,0))="","",INDEX(Itens!$L$2:$L$501,MATCH(39,Itens!$M$2:$M$501,0))),"")</f>
        <v/>
      </c>
    </row>
    <row r="52">
      <c r="A52" s="17">
        <f>IFERROR(IF(INDEX(Itens!$A$2:$A$501,MATCH(40,Itens!$M$2:$M$501,0))="","",INDEX(Itens!$A$2:$A$501,MATCH(40,Itens!$M$2:$M$501,0))),"")</f>
        <v/>
      </c>
      <c r="B52" s="17">
        <f>IFERROR(IF(INDEX(Itens!$C$2:$C$501,MATCH(40,Itens!$M$2:$M$501,0))="","",INDEX(Itens!$C$2:$C$501,MATCH(40,Itens!$M$2:$M$501,0))),"")</f>
        <v/>
      </c>
      <c r="C52" s="17">
        <f>IFERROR(IF(INDEX(Itens!$E$2:$E$501,MATCH(40,Itens!$M$2:$M$501,0))="","",INDEX(Itens!$E$2:$E$501,MATCH(40,Itens!$M$2:$M$501,0))),"")</f>
        <v/>
      </c>
      <c r="D52" s="17">
        <f>IFERROR(IF(INDEX(Itens!$F$2:$F$501,MATCH(40,Itens!$M$2:$M$501,0))="","",INDEX(Itens!$F$2:$F$501,MATCH(40,Itens!$M$2:$M$501,0))),"")</f>
        <v/>
      </c>
      <c r="E52" s="17">
        <f>IFERROR(IF(INDEX(Itens!$G$2:$G$501,MATCH(40,Itens!$M$2:$M$501,0))="","",INDEX(Itens!$G$2:$G$501,MATCH(40,Itens!$M$2:$M$501,0))),"")</f>
        <v/>
      </c>
      <c r="F52" s="17">
        <f>IFERROR(IF(INDEX(Itens!$I$2:$I$501,MATCH(40,Itens!$M$2:$M$501,0))="","",INDEX(Itens!$I$2:$I$501,MATCH(40,Itens!$M$2:$M$501,0))),"")</f>
        <v/>
      </c>
      <c r="G52" s="17">
        <f>IFERROR(IF(INDEX(Itens!$J$2:$J$501,MATCH(40,Itens!$M$2:$M$501,0))="","",INDEX(Itens!$J$2:$J$501,MATCH(40,Itens!$M$2:$M$501,0))),"")</f>
        <v/>
      </c>
      <c r="H52" s="18">
        <f>IFERROR(IF(INDEX(Itens!$K$2:$K$501,MATCH(40,Itens!$M$2:$M$501,0))="","",INDEX(Itens!$K$2:$K$501,MATCH(40,Itens!$M$2:$M$501,0))),"")</f>
        <v/>
      </c>
      <c r="I52" s="17">
        <f>IFERROR(IF(INDEX(Itens!$L$2:$L$501,MATCH(40,Itens!$M$2:$M$501,0))="","",INDEX(Itens!$L$2:$L$501,MATCH(40,Itens!$M$2:$M$501,0))),"")</f>
        <v/>
      </c>
    </row>
    <row r="53">
      <c r="A53" s="17">
        <f>IFERROR(IF(INDEX(Itens!$A$2:$A$501,MATCH(41,Itens!$M$2:$M$501,0))="","",INDEX(Itens!$A$2:$A$501,MATCH(41,Itens!$M$2:$M$501,0))),"")</f>
        <v/>
      </c>
      <c r="B53" s="17">
        <f>IFERROR(IF(INDEX(Itens!$C$2:$C$501,MATCH(41,Itens!$M$2:$M$501,0))="","",INDEX(Itens!$C$2:$C$501,MATCH(41,Itens!$M$2:$M$501,0))),"")</f>
        <v/>
      </c>
      <c r="C53" s="17">
        <f>IFERROR(IF(INDEX(Itens!$E$2:$E$501,MATCH(41,Itens!$M$2:$M$501,0))="","",INDEX(Itens!$E$2:$E$501,MATCH(41,Itens!$M$2:$M$501,0))),"")</f>
        <v/>
      </c>
      <c r="D53" s="17">
        <f>IFERROR(IF(INDEX(Itens!$F$2:$F$501,MATCH(41,Itens!$M$2:$M$501,0))="","",INDEX(Itens!$F$2:$F$501,MATCH(41,Itens!$M$2:$M$501,0))),"")</f>
        <v/>
      </c>
      <c r="E53" s="17">
        <f>IFERROR(IF(INDEX(Itens!$G$2:$G$501,MATCH(41,Itens!$M$2:$M$501,0))="","",INDEX(Itens!$G$2:$G$501,MATCH(41,Itens!$M$2:$M$501,0))),"")</f>
        <v/>
      </c>
      <c r="F53" s="17">
        <f>IFERROR(IF(INDEX(Itens!$I$2:$I$501,MATCH(41,Itens!$M$2:$M$501,0))="","",INDEX(Itens!$I$2:$I$501,MATCH(41,Itens!$M$2:$M$501,0))),"")</f>
        <v/>
      </c>
      <c r="G53" s="17">
        <f>IFERROR(IF(INDEX(Itens!$J$2:$J$501,MATCH(41,Itens!$M$2:$M$501,0))="","",INDEX(Itens!$J$2:$J$501,MATCH(41,Itens!$M$2:$M$501,0))),"")</f>
        <v/>
      </c>
      <c r="H53" s="18">
        <f>IFERROR(IF(INDEX(Itens!$K$2:$K$501,MATCH(41,Itens!$M$2:$M$501,0))="","",INDEX(Itens!$K$2:$K$501,MATCH(41,Itens!$M$2:$M$501,0))),"")</f>
        <v/>
      </c>
      <c r="I53" s="17">
        <f>IFERROR(IF(INDEX(Itens!$L$2:$L$501,MATCH(41,Itens!$M$2:$M$501,0))="","",INDEX(Itens!$L$2:$L$501,MATCH(41,Itens!$M$2:$M$501,0))),"")</f>
        <v/>
      </c>
    </row>
    <row r="54">
      <c r="A54" s="17">
        <f>IFERROR(IF(INDEX(Itens!$A$2:$A$501,MATCH(42,Itens!$M$2:$M$501,0))="","",INDEX(Itens!$A$2:$A$501,MATCH(42,Itens!$M$2:$M$501,0))),"")</f>
        <v/>
      </c>
      <c r="B54" s="17">
        <f>IFERROR(IF(INDEX(Itens!$C$2:$C$501,MATCH(42,Itens!$M$2:$M$501,0))="","",INDEX(Itens!$C$2:$C$501,MATCH(42,Itens!$M$2:$M$501,0))),"")</f>
        <v/>
      </c>
      <c r="C54" s="17">
        <f>IFERROR(IF(INDEX(Itens!$E$2:$E$501,MATCH(42,Itens!$M$2:$M$501,0))="","",INDEX(Itens!$E$2:$E$501,MATCH(42,Itens!$M$2:$M$501,0))),"")</f>
        <v/>
      </c>
      <c r="D54" s="17">
        <f>IFERROR(IF(INDEX(Itens!$F$2:$F$501,MATCH(42,Itens!$M$2:$M$501,0))="","",INDEX(Itens!$F$2:$F$501,MATCH(42,Itens!$M$2:$M$501,0))),"")</f>
        <v/>
      </c>
      <c r="E54" s="17">
        <f>IFERROR(IF(INDEX(Itens!$G$2:$G$501,MATCH(42,Itens!$M$2:$M$501,0))="","",INDEX(Itens!$G$2:$G$501,MATCH(42,Itens!$M$2:$M$501,0))),"")</f>
        <v/>
      </c>
      <c r="F54" s="17">
        <f>IFERROR(IF(INDEX(Itens!$I$2:$I$501,MATCH(42,Itens!$M$2:$M$501,0))="","",INDEX(Itens!$I$2:$I$501,MATCH(42,Itens!$M$2:$M$501,0))),"")</f>
        <v/>
      </c>
      <c r="G54" s="17">
        <f>IFERROR(IF(INDEX(Itens!$J$2:$J$501,MATCH(42,Itens!$M$2:$M$501,0))="","",INDEX(Itens!$J$2:$J$501,MATCH(42,Itens!$M$2:$M$501,0))),"")</f>
        <v/>
      </c>
      <c r="H54" s="18">
        <f>IFERROR(IF(INDEX(Itens!$K$2:$K$501,MATCH(42,Itens!$M$2:$M$501,0))="","",INDEX(Itens!$K$2:$K$501,MATCH(42,Itens!$M$2:$M$501,0))),"")</f>
        <v/>
      </c>
      <c r="I54" s="17">
        <f>IFERROR(IF(INDEX(Itens!$L$2:$L$501,MATCH(42,Itens!$M$2:$M$501,0))="","",INDEX(Itens!$L$2:$L$501,MATCH(42,Itens!$M$2:$M$501,0))),"")</f>
        <v/>
      </c>
    </row>
    <row r="55">
      <c r="A55" s="17">
        <f>IFERROR(IF(INDEX(Itens!$A$2:$A$501,MATCH(43,Itens!$M$2:$M$501,0))="","",INDEX(Itens!$A$2:$A$501,MATCH(43,Itens!$M$2:$M$501,0))),"")</f>
        <v/>
      </c>
      <c r="B55" s="17">
        <f>IFERROR(IF(INDEX(Itens!$C$2:$C$501,MATCH(43,Itens!$M$2:$M$501,0))="","",INDEX(Itens!$C$2:$C$501,MATCH(43,Itens!$M$2:$M$501,0))),"")</f>
        <v/>
      </c>
      <c r="C55" s="17">
        <f>IFERROR(IF(INDEX(Itens!$E$2:$E$501,MATCH(43,Itens!$M$2:$M$501,0))="","",INDEX(Itens!$E$2:$E$501,MATCH(43,Itens!$M$2:$M$501,0))),"")</f>
        <v/>
      </c>
      <c r="D55" s="17">
        <f>IFERROR(IF(INDEX(Itens!$F$2:$F$501,MATCH(43,Itens!$M$2:$M$501,0))="","",INDEX(Itens!$F$2:$F$501,MATCH(43,Itens!$M$2:$M$501,0))),"")</f>
        <v/>
      </c>
      <c r="E55" s="17">
        <f>IFERROR(IF(INDEX(Itens!$G$2:$G$501,MATCH(43,Itens!$M$2:$M$501,0))="","",INDEX(Itens!$G$2:$G$501,MATCH(43,Itens!$M$2:$M$501,0))),"")</f>
        <v/>
      </c>
      <c r="F55" s="17">
        <f>IFERROR(IF(INDEX(Itens!$I$2:$I$501,MATCH(43,Itens!$M$2:$M$501,0))="","",INDEX(Itens!$I$2:$I$501,MATCH(43,Itens!$M$2:$M$501,0))),"")</f>
        <v/>
      </c>
      <c r="G55" s="17">
        <f>IFERROR(IF(INDEX(Itens!$J$2:$J$501,MATCH(43,Itens!$M$2:$M$501,0))="","",INDEX(Itens!$J$2:$J$501,MATCH(43,Itens!$M$2:$M$501,0))),"")</f>
        <v/>
      </c>
      <c r="H55" s="18">
        <f>IFERROR(IF(INDEX(Itens!$K$2:$K$501,MATCH(43,Itens!$M$2:$M$501,0))="","",INDEX(Itens!$K$2:$K$501,MATCH(43,Itens!$M$2:$M$501,0))),"")</f>
        <v/>
      </c>
      <c r="I55" s="17">
        <f>IFERROR(IF(INDEX(Itens!$L$2:$L$501,MATCH(43,Itens!$M$2:$M$501,0))="","",INDEX(Itens!$L$2:$L$501,MATCH(43,Itens!$M$2:$M$501,0))),"")</f>
        <v/>
      </c>
    </row>
    <row r="56">
      <c r="A56" s="17">
        <f>IFERROR(IF(INDEX(Itens!$A$2:$A$501,MATCH(44,Itens!$M$2:$M$501,0))="","",INDEX(Itens!$A$2:$A$501,MATCH(44,Itens!$M$2:$M$501,0))),"")</f>
        <v/>
      </c>
      <c r="B56" s="17">
        <f>IFERROR(IF(INDEX(Itens!$C$2:$C$501,MATCH(44,Itens!$M$2:$M$501,0))="","",INDEX(Itens!$C$2:$C$501,MATCH(44,Itens!$M$2:$M$501,0))),"")</f>
        <v/>
      </c>
      <c r="C56" s="17">
        <f>IFERROR(IF(INDEX(Itens!$E$2:$E$501,MATCH(44,Itens!$M$2:$M$501,0))="","",INDEX(Itens!$E$2:$E$501,MATCH(44,Itens!$M$2:$M$501,0))),"")</f>
        <v/>
      </c>
      <c r="D56" s="17">
        <f>IFERROR(IF(INDEX(Itens!$F$2:$F$501,MATCH(44,Itens!$M$2:$M$501,0))="","",INDEX(Itens!$F$2:$F$501,MATCH(44,Itens!$M$2:$M$501,0))),"")</f>
        <v/>
      </c>
      <c r="E56" s="17">
        <f>IFERROR(IF(INDEX(Itens!$G$2:$G$501,MATCH(44,Itens!$M$2:$M$501,0))="","",INDEX(Itens!$G$2:$G$501,MATCH(44,Itens!$M$2:$M$501,0))),"")</f>
        <v/>
      </c>
      <c r="F56" s="17">
        <f>IFERROR(IF(INDEX(Itens!$I$2:$I$501,MATCH(44,Itens!$M$2:$M$501,0))="","",INDEX(Itens!$I$2:$I$501,MATCH(44,Itens!$M$2:$M$501,0))),"")</f>
        <v/>
      </c>
      <c r="G56" s="17">
        <f>IFERROR(IF(INDEX(Itens!$J$2:$J$501,MATCH(44,Itens!$M$2:$M$501,0))="","",INDEX(Itens!$J$2:$J$501,MATCH(44,Itens!$M$2:$M$501,0))),"")</f>
        <v/>
      </c>
      <c r="H56" s="18">
        <f>IFERROR(IF(INDEX(Itens!$K$2:$K$501,MATCH(44,Itens!$M$2:$M$501,0))="","",INDEX(Itens!$K$2:$K$501,MATCH(44,Itens!$M$2:$M$501,0))),"")</f>
        <v/>
      </c>
      <c r="I56" s="17">
        <f>IFERROR(IF(INDEX(Itens!$L$2:$L$501,MATCH(44,Itens!$M$2:$M$501,0))="","",INDEX(Itens!$L$2:$L$501,MATCH(44,Itens!$M$2:$M$501,0))),"")</f>
        <v/>
      </c>
    </row>
    <row r="57">
      <c r="A57" s="17">
        <f>IFERROR(IF(INDEX(Itens!$A$2:$A$501,MATCH(45,Itens!$M$2:$M$501,0))="","",INDEX(Itens!$A$2:$A$501,MATCH(45,Itens!$M$2:$M$501,0))),"")</f>
        <v/>
      </c>
      <c r="B57" s="17">
        <f>IFERROR(IF(INDEX(Itens!$C$2:$C$501,MATCH(45,Itens!$M$2:$M$501,0))="","",INDEX(Itens!$C$2:$C$501,MATCH(45,Itens!$M$2:$M$501,0))),"")</f>
        <v/>
      </c>
      <c r="C57" s="17">
        <f>IFERROR(IF(INDEX(Itens!$E$2:$E$501,MATCH(45,Itens!$M$2:$M$501,0))="","",INDEX(Itens!$E$2:$E$501,MATCH(45,Itens!$M$2:$M$501,0))),"")</f>
        <v/>
      </c>
      <c r="D57" s="17">
        <f>IFERROR(IF(INDEX(Itens!$F$2:$F$501,MATCH(45,Itens!$M$2:$M$501,0))="","",INDEX(Itens!$F$2:$F$501,MATCH(45,Itens!$M$2:$M$501,0))),"")</f>
        <v/>
      </c>
      <c r="E57" s="17">
        <f>IFERROR(IF(INDEX(Itens!$G$2:$G$501,MATCH(45,Itens!$M$2:$M$501,0))="","",INDEX(Itens!$G$2:$G$501,MATCH(45,Itens!$M$2:$M$501,0))),"")</f>
        <v/>
      </c>
      <c r="F57" s="17">
        <f>IFERROR(IF(INDEX(Itens!$I$2:$I$501,MATCH(45,Itens!$M$2:$M$501,0))="","",INDEX(Itens!$I$2:$I$501,MATCH(45,Itens!$M$2:$M$501,0))),"")</f>
        <v/>
      </c>
      <c r="G57" s="17">
        <f>IFERROR(IF(INDEX(Itens!$J$2:$J$501,MATCH(45,Itens!$M$2:$M$501,0))="","",INDEX(Itens!$J$2:$J$501,MATCH(45,Itens!$M$2:$M$501,0))),"")</f>
        <v/>
      </c>
      <c r="H57" s="18">
        <f>IFERROR(IF(INDEX(Itens!$K$2:$K$501,MATCH(45,Itens!$M$2:$M$501,0))="","",INDEX(Itens!$K$2:$K$501,MATCH(45,Itens!$M$2:$M$501,0))),"")</f>
        <v/>
      </c>
      <c r="I57" s="17">
        <f>IFERROR(IF(INDEX(Itens!$L$2:$L$501,MATCH(45,Itens!$M$2:$M$501,0))="","",INDEX(Itens!$L$2:$L$501,MATCH(45,Itens!$M$2:$M$501,0))),"")</f>
        <v/>
      </c>
    </row>
    <row r="58">
      <c r="A58" s="17">
        <f>IFERROR(IF(INDEX(Itens!$A$2:$A$501,MATCH(46,Itens!$M$2:$M$501,0))="","",INDEX(Itens!$A$2:$A$501,MATCH(46,Itens!$M$2:$M$501,0))),"")</f>
        <v/>
      </c>
      <c r="B58" s="17">
        <f>IFERROR(IF(INDEX(Itens!$C$2:$C$501,MATCH(46,Itens!$M$2:$M$501,0))="","",INDEX(Itens!$C$2:$C$501,MATCH(46,Itens!$M$2:$M$501,0))),"")</f>
        <v/>
      </c>
      <c r="C58" s="17">
        <f>IFERROR(IF(INDEX(Itens!$E$2:$E$501,MATCH(46,Itens!$M$2:$M$501,0))="","",INDEX(Itens!$E$2:$E$501,MATCH(46,Itens!$M$2:$M$501,0))),"")</f>
        <v/>
      </c>
      <c r="D58" s="17">
        <f>IFERROR(IF(INDEX(Itens!$F$2:$F$501,MATCH(46,Itens!$M$2:$M$501,0))="","",INDEX(Itens!$F$2:$F$501,MATCH(46,Itens!$M$2:$M$501,0))),"")</f>
        <v/>
      </c>
      <c r="E58" s="17">
        <f>IFERROR(IF(INDEX(Itens!$G$2:$G$501,MATCH(46,Itens!$M$2:$M$501,0))="","",INDEX(Itens!$G$2:$G$501,MATCH(46,Itens!$M$2:$M$501,0))),"")</f>
        <v/>
      </c>
      <c r="F58" s="17">
        <f>IFERROR(IF(INDEX(Itens!$I$2:$I$501,MATCH(46,Itens!$M$2:$M$501,0))="","",INDEX(Itens!$I$2:$I$501,MATCH(46,Itens!$M$2:$M$501,0))),"")</f>
        <v/>
      </c>
      <c r="G58" s="17">
        <f>IFERROR(IF(INDEX(Itens!$J$2:$J$501,MATCH(46,Itens!$M$2:$M$501,0))="","",INDEX(Itens!$J$2:$J$501,MATCH(46,Itens!$M$2:$M$501,0))),"")</f>
        <v/>
      </c>
      <c r="H58" s="18">
        <f>IFERROR(IF(INDEX(Itens!$K$2:$K$501,MATCH(46,Itens!$M$2:$M$501,0))="","",INDEX(Itens!$K$2:$K$501,MATCH(46,Itens!$M$2:$M$501,0))),"")</f>
        <v/>
      </c>
      <c r="I58" s="17">
        <f>IFERROR(IF(INDEX(Itens!$L$2:$L$501,MATCH(46,Itens!$M$2:$M$501,0))="","",INDEX(Itens!$L$2:$L$501,MATCH(46,Itens!$M$2:$M$501,0))),"")</f>
        <v/>
      </c>
    </row>
    <row r="59">
      <c r="A59" s="17">
        <f>IFERROR(IF(INDEX(Itens!$A$2:$A$501,MATCH(47,Itens!$M$2:$M$501,0))="","",INDEX(Itens!$A$2:$A$501,MATCH(47,Itens!$M$2:$M$501,0))),"")</f>
        <v/>
      </c>
      <c r="B59" s="17">
        <f>IFERROR(IF(INDEX(Itens!$C$2:$C$501,MATCH(47,Itens!$M$2:$M$501,0))="","",INDEX(Itens!$C$2:$C$501,MATCH(47,Itens!$M$2:$M$501,0))),"")</f>
        <v/>
      </c>
      <c r="C59" s="17">
        <f>IFERROR(IF(INDEX(Itens!$E$2:$E$501,MATCH(47,Itens!$M$2:$M$501,0))="","",INDEX(Itens!$E$2:$E$501,MATCH(47,Itens!$M$2:$M$501,0))),"")</f>
        <v/>
      </c>
      <c r="D59" s="17">
        <f>IFERROR(IF(INDEX(Itens!$F$2:$F$501,MATCH(47,Itens!$M$2:$M$501,0))="","",INDEX(Itens!$F$2:$F$501,MATCH(47,Itens!$M$2:$M$501,0))),"")</f>
        <v/>
      </c>
      <c r="E59" s="17">
        <f>IFERROR(IF(INDEX(Itens!$G$2:$G$501,MATCH(47,Itens!$M$2:$M$501,0))="","",INDEX(Itens!$G$2:$G$501,MATCH(47,Itens!$M$2:$M$501,0))),"")</f>
        <v/>
      </c>
      <c r="F59" s="17">
        <f>IFERROR(IF(INDEX(Itens!$I$2:$I$501,MATCH(47,Itens!$M$2:$M$501,0))="","",INDEX(Itens!$I$2:$I$501,MATCH(47,Itens!$M$2:$M$501,0))),"")</f>
        <v/>
      </c>
      <c r="G59" s="17">
        <f>IFERROR(IF(INDEX(Itens!$J$2:$J$501,MATCH(47,Itens!$M$2:$M$501,0))="","",INDEX(Itens!$J$2:$J$501,MATCH(47,Itens!$M$2:$M$501,0))),"")</f>
        <v/>
      </c>
      <c r="H59" s="18">
        <f>IFERROR(IF(INDEX(Itens!$K$2:$K$501,MATCH(47,Itens!$M$2:$M$501,0))="","",INDEX(Itens!$K$2:$K$501,MATCH(47,Itens!$M$2:$M$501,0))),"")</f>
        <v/>
      </c>
      <c r="I59" s="17">
        <f>IFERROR(IF(INDEX(Itens!$L$2:$L$501,MATCH(47,Itens!$M$2:$M$501,0))="","",INDEX(Itens!$L$2:$L$501,MATCH(47,Itens!$M$2:$M$501,0))),"")</f>
        <v/>
      </c>
    </row>
    <row r="60">
      <c r="A60" s="17">
        <f>IFERROR(IF(INDEX(Itens!$A$2:$A$501,MATCH(48,Itens!$M$2:$M$501,0))="","",INDEX(Itens!$A$2:$A$501,MATCH(48,Itens!$M$2:$M$501,0))),"")</f>
        <v/>
      </c>
      <c r="B60" s="17">
        <f>IFERROR(IF(INDEX(Itens!$C$2:$C$501,MATCH(48,Itens!$M$2:$M$501,0))="","",INDEX(Itens!$C$2:$C$501,MATCH(48,Itens!$M$2:$M$501,0))),"")</f>
        <v/>
      </c>
      <c r="C60" s="17">
        <f>IFERROR(IF(INDEX(Itens!$E$2:$E$501,MATCH(48,Itens!$M$2:$M$501,0))="","",INDEX(Itens!$E$2:$E$501,MATCH(48,Itens!$M$2:$M$501,0))),"")</f>
        <v/>
      </c>
      <c r="D60" s="17">
        <f>IFERROR(IF(INDEX(Itens!$F$2:$F$501,MATCH(48,Itens!$M$2:$M$501,0))="","",INDEX(Itens!$F$2:$F$501,MATCH(48,Itens!$M$2:$M$501,0))),"")</f>
        <v/>
      </c>
      <c r="E60" s="17">
        <f>IFERROR(IF(INDEX(Itens!$G$2:$G$501,MATCH(48,Itens!$M$2:$M$501,0))="","",INDEX(Itens!$G$2:$G$501,MATCH(48,Itens!$M$2:$M$501,0))),"")</f>
        <v/>
      </c>
      <c r="F60" s="17">
        <f>IFERROR(IF(INDEX(Itens!$I$2:$I$501,MATCH(48,Itens!$M$2:$M$501,0))="","",INDEX(Itens!$I$2:$I$501,MATCH(48,Itens!$M$2:$M$501,0))),"")</f>
        <v/>
      </c>
      <c r="G60" s="17">
        <f>IFERROR(IF(INDEX(Itens!$J$2:$J$501,MATCH(48,Itens!$M$2:$M$501,0))="","",INDEX(Itens!$J$2:$J$501,MATCH(48,Itens!$M$2:$M$501,0))),"")</f>
        <v/>
      </c>
      <c r="H60" s="18">
        <f>IFERROR(IF(INDEX(Itens!$K$2:$K$501,MATCH(48,Itens!$M$2:$M$501,0))="","",INDEX(Itens!$K$2:$K$501,MATCH(48,Itens!$M$2:$M$501,0))),"")</f>
        <v/>
      </c>
      <c r="I60" s="17">
        <f>IFERROR(IF(INDEX(Itens!$L$2:$L$501,MATCH(48,Itens!$M$2:$M$501,0))="","",INDEX(Itens!$L$2:$L$501,MATCH(48,Itens!$M$2:$M$501,0))),"")</f>
        <v/>
      </c>
    </row>
    <row r="61">
      <c r="A61" s="17">
        <f>IFERROR(IF(INDEX(Itens!$A$2:$A$501,MATCH(49,Itens!$M$2:$M$501,0))="","",INDEX(Itens!$A$2:$A$501,MATCH(49,Itens!$M$2:$M$501,0))),"")</f>
        <v/>
      </c>
      <c r="B61" s="17">
        <f>IFERROR(IF(INDEX(Itens!$C$2:$C$501,MATCH(49,Itens!$M$2:$M$501,0))="","",INDEX(Itens!$C$2:$C$501,MATCH(49,Itens!$M$2:$M$501,0))),"")</f>
        <v/>
      </c>
      <c r="C61" s="17">
        <f>IFERROR(IF(INDEX(Itens!$E$2:$E$501,MATCH(49,Itens!$M$2:$M$501,0))="","",INDEX(Itens!$E$2:$E$501,MATCH(49,Itens!$M$2:$M$501,0))),"")</f>
        <v/>
      </c>
      <c r="D61" s="17">
        <f>IFERROR(IF(INDEX(Itens!$F$2:$F$501,MATCH(49,Itens!$M$2:$M$501,0))="","",INDEX(Itens!$F$2:$F$501,MATCH(49,Itens!$M$2:$M$501,0))),"")</f>
        <v/>
      </c>
      <c r="E61" s="17">
        <f>IFERROR(IF(INDEX(Itens!$G$2:$G$501,MATCH(49,Itens!$M$2:$M$501,0))="","",INDEX(Itens!$G$2:$G$501,MATCH(49,Itens!$M$2:$M$501,0))),"")</f>
        <v/>
      </c>
      <c r="F61" s="17">
        <f>IFERROR(IF(INDEX(Itens!$I$2:$I$501,MATCH(49,Itens!$M$2:$M$501,0))="","",INDEX(Itens!$I$2:$I$501,MATCH(49,Itens!$M$2:$M$501,0))),"")</f>
        <v/>
      </c>
      <c r="G61" s="17">
        <f>IFERROR(IF(INDEX(Itens!$J$2:$J$501,MATCH(49,Itens!$M$2:$M$501,0))="","",INDEX(Itens!$J$2:$J$501,MATCH(49,Itens!$M$2:$M$501,0))),"")</f>
        <v/>
      </c>
      <c r="H61" s="18">
        <f>IFERROR(IF(INDEX(Itens!$K$2:$K$501,MATCH(49,Itens!$M$2:$M$501,0))="","",INDEX(Itens!$K$2:$K$501,MATCH(49,Itens!$M$2:$M$501,0))),"")</f>
        <v/>
      </c>
      <c r="I61" s="17">
        <f>IFERROR(IF(INDEX(Itens!$L$2:$L$501,MATCH(49,Itens!$M$2:$M$501,0))="","",INDEX(Itens!$L$2:$L$501,MATCH(49,Itens!$M$2:$M$501,0))),"")</f>
        <v/>
      </c>
    </row>
    <row r="62">
      <c r="A62" s="17">
        <f>IFERROR(IF(INDEX(Itens!$A$2:$A$501,MATCH(50,Itens!$M$2:$M$501,0))="","",INDEX(Itens!$A$2:$A$501,MATCH(50,Itens!$M$2:$M$501,0))),"")</f>
        <v/>
      </c>
      <c r="B62" s="17">
        <f>IFERROR(IF(INDEX(Itens!$C$2:$C$501,MATCH(50,Itens!$M$2:$M$501,0))="","",INDEX(Itens!$C$2:$C$501,MATCH(50,Itens!$M$2:$M$501,0))),"")</f>
        <v/>
      </c>
      <c r="C62" s="17">
        <f>IFERROR(IF(INDEX(Itens!$E$2:$E$501,MATCH(50,Itens!$M$2:$M$501,0))="","",INDEX(Itens!$E$2:$E$501,MATCH(50,Itens!$M$2:$M$501,0))),"")</f>
        <v/>
      </c>
      <c r="D62" s="17">
        <f>IFERROR(IF(INDEX(Itens!$F$2:$F$501,MATCH(50,Itens!$M$2:$M$501,0))="","",INDEX(Itens!$F$2:$F$501,MATCH(50,Itens!$M$2:$M$501,0))),"")</f>
        <v/>
      </c>
      <c r="E62" s="17">
        <f>IFERROR(IF(INDEX(Itens!$G$2:$G$501,MATCH(50,Itens!$M$2:$M$501,0))="","",INDEX(Itens!$G$2:$G$501,MATCH(50,Itens!$M$2:$M$501,0))),"")</f>
        <v/>
      </c>
      <c r="F62" s="17">
        <f>IFERROR(IF(INDEX(Itens!$I$2:$I$501,MATCH(50,Itens!$M$2:$M$501,0))="","",INDEX(Itens!$I$2:$I$501,MATCH(50,Itens!$M$2:$M$501,0))),"")</f>
        <v/>
      </c>
      <c r="G62" s="17">
        <f>IFERROR(IF(INDEX(Itens!$J$2:$J$501,MATCH(50,Itens!$M$2:$M$501,0))="","",INDEX(Itens!$J$2:$J$501,MATCH(50,Itens!$M$2:$M$501,0))),"")</f>
        <v/>
      </c>
      <c r="H62" s="18">
        <f>IFERROR(IF(INDEX(Itens!$K$2:$K$501,MATCH(50,Itens!$M$2:$M$501,0))="","",INDEX(Itens!$K$2:$K$501,MATCH(50,Itens!$M$2:$M$501,0))),"")</f>
        <v/>
      </c>
      <c r="I62" s="17">
        <f>IFERROR(IF(INDEX(Itens!$L$2:$L$501,MATCH(50,Itens!$M$2:$M$501,0))="","",INDEX(Itens!$L$2:$L$501,MATCH(50,Itens!$M$2:$M$501,0))),"")</f>
        <v/>
      </c>
    </row>
    <row r="63">
      <c r="A63" s="17">
        <f>IFERROR(IF(INDEX(Itens!$A$2:$A$501,MATCH(51,Itens!$M$2:$M$501,0))="","",INDEX(Itens!$A$2:$A$501,MATCH(51,Itens!$M$2:$M$501,0))),"")</f>
        <v/>
      </c>
      <c r="B63" s="17">
        <f>IFERROR(IF(INDEX(Itens!$C$2:$C$501,MATCH(51,Itens!$M$2:$M$501,0))="","",INDEX(Itens!$C$2:$C$501,MATCH(51,Itens!$M$2:$M$501,0))),"")</f>
        <v/>
      </c>
      <c r="C63" s="17">
        <f>IFERROR(IF(INDEX(Itens!$E$2:$E$501,MATCH(51,Itens!$M$2:$M$501,0))="","",INDEX(Itens!$E$2:$E$501,MATCH(51,Itens!$M$2:$M$501,0))),"")</f>
        <v/>
      </c>
      <c r="D63" s="17">
        <f>IFERROR(IF(INDEX(Itens!$F$2:$F$501,MATCH(51,Itens!$M$2:$M$501,0))="","",INDEX(Itens!$F$2:$F$501,MATCH(51,Itens!$M$2:$M$501,0))),"")</f>
        <v/>
      </c>
      <c r="E63" s="17">
        <f>IFERROR(IF(INDEX(Itens!$G$2:$G$501,MATCH(51,Itens!$M$2:$M$501,0))="","",INDEX(Itens!$G$2:$G$501,MATCH(51,Itens!$M$2:$M$501,0))),"")</f>
        <v/>
      </c>
      <c r="F63" s="17">
        <f>IFERROR(IF(INDEX(Itens!$I$2:$I$501,MATCH(51,Itens!$M$2:$M$501,0))="","",INDEX(Itens!$I$2:$I$501,MATCH(51,Itens!$M$2:$M$501,0))),"")</f>
        <v/>
      </c>
      <c r="G63" s="17">
        <f>IFERROR(IF(INDEX(Itens!$J$2:$J$501,MATCH(51,Itens!$M$2:$M$501,0))="","",INDEX(Itens!$J$2:$J$501,MATCH(51,Itens!$M$2:$M$501,0))),"")</f>
        <v/>
      </c>
      <c r="H63" s="18">
        <f>IFERROR(IF(INDEX(Itens!$K$2:$K$501,MATCH(51,Itens!$M$2:$M$501,0))="","",INDEX(Itens!$K$2:$K$501,MATCH(51,Itens!$M$2:$M$501,0))),"")</f>
        <v/>
      </c>
      <c r="I63" s="17">
        <f>IFERROR(IF(INDEX(Itens!$L$2:$L$501,MATCH(51,Itens!$M$2:$M$501,0))="","",INDEX(Itens!$L$2:$L$501,MATCH(51,Itens!$M$2:$M$501,0))),"")</f>
        <v/>
      </c>
    </row>
    <row r="64">
      <c r="A64" s="17">
        <f>IFERROR(IF(INDEX(Itens!$A$2:$A$501,MATCH(52,Itens!$M$2:$M$501,0))="","",INDEX(Itens!$A$2:$A$501,MATCH(52,Itens!$M$2:$M$501,0))),"")</f>
        <v/>
      </c>
      <c r="B64" s="17">
        <f>IFERROR(IF(INDEX(Itens!$C$2:$C$501,MATCH(52,Itens!$M$2:$M$501,0))="","",INDEX(Itens!$C$2:$C$501,MATCH(52,Itens!$M$2:$M$501,0))),"")</f>
        <v/>
      </c>
      <c r="C64" s="17">
        <f>IFERROR(IF(INDEX(Itens!$E$2:$E$501,MATCH(52,Itens!$M$2:$M$501,0))="","",INDEX(Itens!$E$2:$E$501,MATCH(52,Itens!$M$2:$M$501,0))),"")</f>
        <v/>
      </c>
      <c r="D64" s="17">
        <f>IFERROR(IF(INDEX(Itens!$F$2:$F$501,MATCH(52,Itens!$M$2:$M$501,0))="","",INDEX(Itens!$F$2:$F$501,MATCH(52,Itens!$M$2:$M$501,0))),"")</f>
        <v/>
      </c>
      <c r="E64" s="17">
        <f>IFERROR(IF(INDEX(Itens!$G$2:$G$501,MATCH(52,Itens!$M$2:$M$501,0))="","",INDEX(Itens!$G$2:$G$501,MATCH(52,Itens!$M$2:$M$501,0))),"")</f>
        <v/>
      </c>
      <c r="F64" s="17">
        <f>IFERROR(IF(INDEX(Itens!$I$2:$I$501,MATCH(52,Itens!$M$2:$M$501,0))="","",INDEX(Itens!$I$2:$I$501,MATCH(52,Itens!$M$2:$M$501,0))),"")</f>
        <v/>
      </c>
      <c r="G64" s="17">
        <f>IFERROR(IF(INDEX(Itens!$J$2:$J$501,MATCH(52,Itens!$M$2:$M$501,0))="","",INDEX(Itens!$J$2:$J$501,MATCH(52,Itens!$M$2:$M$501,0))),"")</f>
        <v/>
      </c>
      <c r="H64" s="18">
        <f>IFERROR(IF(INDEX(Itens!$K$2:$K$501,MATCH(52,Itens!$M$2:$M$501,0))="","",INDEX(Itens!$K$2:$K$501,MATCH(52,Itens!$M$2:$M$501,0))),"")</f>
        <v/>
      </c>
      <c r="I64" s="17">
        <f>IFERROR(IF(INDEX(Itens!$L$2:$L$501,MATCH(52,Itens!$M$2:$M$501,0))="","",INDEX(Itens!$L$2:$L$501,MATCH(52,Itens!$M$2:$M$501,0))),"")</f>
        <v/>
      </c>
    </row>
    <row r="65">
      <c r="A65" s="17">
        <f>IFERROR(IF(INDEX(Itens!$A$2:$A$501,MATCH(53,Itens!$M$2:$M$501,0))="","",INDEX(Itens!$A$2:$A$501,MATCH(53,Itens!$M$2:$M$501,0))),"")</f>
        <v/>
      </c>
      <c r="B65" s="17">
        <f>IFERROR(IF(INDEX(Itens!$C$2:$C$501,MATCH(53,Itens!$M$2:$M$501,0))="","",INDEX(Itens!$C$2:$C$501,MATCH(53,Itens!$M$2:$M$501,0))),"")</f>
        <v/>
      </c>
      <c r="C65" s="17">
        <f>IFERROR(IF(INDEX(Itens!$E$2:$E$501,MATCH(53,Itens!$M$2:$M$501,0))="","",INDEX(Itens!$E$2:$E$501,MATCH(53,Itens!$M$2:$M$501,0))),"")</f>
        <v/>
      </c>
      <c r="D65" s="17">
        <f>IFERROR(IF(INDEX(Itens!$F$2:$F$501,MATCH(53,Itens!$M$2:$M$501,0))="","",INDEX(Itens!$F$2:$F$501,MATCH(53,Itens!$M$2:$M$501,0))),"")</f>
        <v/>
      </c>
      <c r="E65" s="17">
        <f>IFERROR(IF(INDEX(Itens!$G$2:$G$501,MATCH(53,Itens!$M$2:$M$501,0))="","",INDEX(Itens!$G$2:$G$501,MATCH(53,Itens!$M$2:$M$501,0))),"")</f>
        <v/>
      </c>
      <c r="F65" s="17">
        <f>IFERROR(IF(INDEX(Itens!$I$2:$I$501,MATCH(53,Itens!$M$2:$M$501,0))="","",INDEX(Itens!$I$2:$I$501,MATCH(53,Itens!$M$2:$M$501,0))),"")</f>
        <v/>
      </c>
      <c r="G65" s="17">
        <f>IFERROR(IF(INDEX(Itens!$J$2:$J$501,MATCH(53,Itens!$M$2:$M$501,0))="","",INDEX(Itens!$J$2:$J$501,MATCH(53,Itens!$M$2:$M$501,0))),"")</f>
        <v/>
      </c>
      <c r="H65" s="18">
        <f>IFERROR(IF(INDEX(Itens!$K$2:$K$501,MATCH(53,Itens!$M$2:$M$501,0))="","",INDEX(Itens!$K$2:$K$501,MATCH(53,Itens!$M$2:$M$501,0))),"")</f>
        <v/>
      </c>
      <c r="I65" s="17">
        <f>IFERROR(IF(INDEX(Itens!$L$2:$L$501,MATCH(53,Itens!$M$2:$M$501,0))="","",INDEX(Itens!$L$2:$L$501,MATCH(53,Itens!$M$2:$M$501,0))),"")</f>
        <v/>
      </c>
    </row>
    <row r="66">
      <c r="A66" s="17">
        <f>IFERROR(IF(INDEX(Itens!$A$2:$A$501,MATCH(54,Itens!$M$2:$M$501,0))="","",INDEX(Itens!$A$2:$A$501,MATCH(54,Itens!$M$2:$M$501,0))),"")</f>
        <v/>
      </c>
      <c r="B66" s="17">
        <f>IFERROR(IF(INDEX(Itens!$C$2:$C$501,MATCH(54,Itens!$M$2:$M$501,0))="","",INDEX(Itens!$C$2:$C$501,MATCH(54,Itens!$M$2:$M$501,0))),"")</f>
        <v/>
      </c>
      <c r="C66" s="17">
        <f>IFERROR(IF(INDEX(Itens!$E$2:$E$501,MATCH(54,Itens!$M$2:$M$501,0))="","",INDEX(Itens!$E$2:$E$501,MATCH(54,Itens!$M$2:$M$501,0))),"")</f>
        <v/>
      </c>
      <c r="D66" s="17">
        <f>IFERROR(IF(INDEX(Itens!$F$2:$F$501,MATCH(54,Itens!$M$2:$M$501,0))="","",INDEX(Itens!$F$2:$F$501,MATCH(54,Itens!$M$2:$M$501,0))),"")</f>
        <v/>
      </c>
      <c r="E66" s="17">
        <f>IFERROR(IF(INDEX(Itens!$G$2:$G$501,MATCH(54,Itens!$M$2:$M$501,0))="","",INDEX(Itens!$G$2:$G$501,MATCH(54,Itens!$M$2:$M$501,0))),"")</f>
        <v/>
      </c>
      <c r="F66" s="17">
        <f>IFERROR(IF(INDEX(Itens!$I$2:$I$501,MATCH(54,Itens!$M$2:$M$501,0))="","",INDEX(Itens!$I$2:$I$501,MATCH(54,Itens!$M$2:$M$501,0))),"")</f>
        <v/>
      </c>
      <c r="G66" s="17">
        <f>IFERROR(IF(INDEX(Itens!$J$2:$J$501,MATCH(54,Itens!$M$2:$M$501,0))="","",INDEX(Itens!$J$2:$J$501,MATCH(54,Itens!$M$2:$M$501,0))),"")</f>
        <v/>
      </c>
      <c r="H66" s="18">
        <f>IFERROR(IF(INDEX(Itens!$K$2:$K$501,MATCH(54,Itens!$M$2:$M$501,0))="","",INDEX(Itens!$K$2:$K$501,MATCH(54,Itens!$M$2:$M$501,0))),"")</f>
        <v/>
      </c>
      <c r="I66" s="17">
        <f>IFERROR(IF(INDEX(Itens!$L$2:$L$501,MATCH(54,Itens!$M$2:$M$501,0))="","",INDEX(Itens!$L$2:$L$501,MATCH(54,Itens!$M$2:$M$501,0))),"")</f>
        <v/>
      </c>
    </row>
    <row r="67">
      <c r="A67" s="17">
        <f>IFERROR(IF(INDEX(Itens!$A$2:$A$501,MATCH(55,Itens!$M$2:$M$501,0))="","",INDEX(Itens!$A$2:$A$501,MATCH(55,Itens!$M$2:$M$501,0))),"")</f>
        <v/>
      </c>
      <c r="B67" s="17">
        <f>IFERROR(IF(INDEX(Itens!$C$2:$C$501,MATCH(55,Itens!$M$2:$M$501,0))="","",INDEX(Itens!$C$2:$C$501,MATCH(55,Itens!$M$2:$M$501,0))),"")</f>
        <v/>
      </c>
      <c r="C67" s="17">
        <f>IFERROR(IF(INDEX(Itens!$E$2:$E$501,MATCH(55,Itens!$M$2:$M$501,0))="","",INDEX(Itens!$E$2:$E$501,MATCH(55,Itens!$M$2:$M$501,0))),"")</f>
        <v/>
      </c>
      <c r="D67" s="17">
        <f>IFERROR(IF(INDEX(Itens!$F$2:$F$501,MATCH(55,Itens!$M$2:$M$501,0))="","",INDEX(Itens!$F$2:$F$501,MATCH(55,Itens!$M$2:$M$501,0))),"")</f>
        <v/>
      </c>
      <c r="E67" s="17">
        <f>IFERROR(IF(INDEX(Itens!$G$2:$G$501,MATCH(55,Itens!$M$2:$M$501,0))="","",INDEX(Itens!$G$2:$G$501,MATCH(55,Itens!$M$2:$M$501,0))),"")</f>
        <v/>
      </c>
      <c r="F67" s="17">
        <f>IFERROR(IF(INDEX(Itens!$I$2:$I$501,MATCH(55,Itens!$M$2:$M$501,0))="","",INDEX(Itens!$I$2:$I$501,MATCH(55,Itens!$M$2:$M$501,0))),"")</f>
        <v/>
      </c>
      <c r="G67" s="17">
        <f>IFERROR(IF(INDEX(Itens!$J$2:$J$501,MATCH(55,Itens!$M$2:$M$501,0))="","",INDEX(Itens!$J$2:$J$501,MATCH(55,Itens!$M$2:$M$501,0))),"")</f>
        <v/>
      </c>
      <c r="H67" s="18">
        <f>IFERROR(IF(INDEX(Itens!$K$2:$K$501,MATCH(55,Itens!$M$2:$M$501,0))="","",INDEX(Itens!$K$2:$K$501,MATCH(55,Itens!$M$2:$M$501,0))),"")</f>
        <v/>
      </c>
      <c r="I67" s="17">
        <f>IFERROR(IF(INDEX(Itens!$L$2:$L$501,MATCH(55,Itens!$M$2:$M$501,0))="","",INDEX(Itens!$L$2:$L$501,MATCH(55,Itens!$M$2:$M$501,0))),"")</f>
        <v/>
      </c>
    </row>
    <row r="68">
      <c r="A68" s="17">
        <f>IFERROR(IF(INDEX(Itens!$A$2:$A$501,MATCH(56,Itens!$M$2:$M$501,0))="","",INDEX(Itens!$A$2:$A$501,MATCH(56,Itens!$M$2:$M$501,0))),"")</f>
        <v/>
      </c>
      <c r="B68" s="17">
        <f>IFERROR(IF(INDEX(Itens!$C$2:$C$501,MATCH(56,Itens!$M$2:$M$501,0))="","",INDEX(Itens!$C$2:$C$501,MATCH(56,Itens!$M$2:$M$501,0))),"")</f>
        <v/>
      </c>
      <c r="C68" s="17">
        <f>IFERROR(IF(INDEX(Itens!$E$2:$E$501,MATCH(56,Itens!$M$2:$M$501,0))="","",INDEX(Itens!$E$2:$E$501,MATCH(56,Itens!$M$2:$M$501,0))),"")</f>
        <v/>
      </c>
      <c r="D68" s="17">
        <f>IFERROR(IF(INDEX(Itens!$F$2:$F$501,MATCH(56,Itens!$M$2:$M$501,0))="","",INDEX(Itens!$F$2:$F$501,MATCH(56,Itens!$M$2:$M$501,0))),"")</f>
        <v/>
      </c>
      <c r="E68" s="17">
        <f>IFERROR(IF(INDEX(Itens!$G$2:$G$501,MATCH(56,Itens!$M$2:$M$501,0))="","",INDEX(Itens!$G$2:$G$501,MATCH(56,Itens!$M$2:$M$501,0))),"")</f>
        <v/>
      </c>
      <c r="F68" s="17">
        <f>IFERROR(IF(INDEX(Itens!$I$2:$I$501,MATCH(56,Itens!$M$2:$M$501,0))="","",INDEX(Itens!$I$2:$I$501,MATCH(56,Itens!$M$2:$M$501,0))),"")</f>
        <v/>
      </c>
      <c r="G68" s="17">
        <f>IFERROR(IF(INDEX(Itens!$J$2:$J$501,MATCH(56,Itens!$M$2:$M$501,0))="","",INDEX(Itens!$J$2:$J$501,MATCH(56,Itens!$M$2:$M$501,0))),"")</f>
        <v/>
      </c>
      <c r="H68" s="18">
        <f>IFERROR(IF(INDEX(Itens!$K$2:$K$501,MATCH(56,Itens!$M$2:$M$501,0))="","",INDEX(Itens!$K$2:$K$501,MATCH(56,Itens!$M$2:$M$501,0))),"")</f>
        <v/>
      </c>
      <c r="I68" s="17">
        <f>IFERROR(IF(INDEX(Itens!$L$2:$L$501,MATCH(56,Itens!$M$2:$M$501,0))="","",INDEX(Itens!$L$2:$L$501,MATCH(56,Itens!$M$2:$M$501,0))),"")</f>
        <v/>
      </c>
    </row>
    <row r="69">
      <c r="A69" s="17">
        <f>IFERROR(IF(INDEX(Itens!$A$2:$A$501,MATCH(57,Itens!$M$2:$M$501,0))="","",INDEX(Itens!$A$2:$A$501,MATCH(57,Itens!$M$2:$M$501,0))),"")</f>
        <v/>
      </c>
      <c r="B69" s="17">
        <f>IFERROR(IF(INDEX(Itens!$C$2:$C$501,MATCH(57,Itens!$M$2:$M$501,0))="","",INDEX(Itens!$C$2:$C$501,MATCH(57,Itens!$M$2:$M$501,0))),"")</f>
        <v/>
      </c>
      <c r="C69" s="17">
        <f>IFERROR(IF(INDEX(Itens!$E$2:$E$501,MATCH(57,Itens!$M$2:$M$501,0))="","",INDEX(Itens!$E$2:$E$501,MATCH(57,Itens!$M$2:$M$501,0))),"")</f>
        <v/>
      </c>
      <c r="D69" s="17">
        <f>IFERROR(IF(INDEX(Itens!$F$2:$F$501,MATCH(57,Itens!$M$2:$M$501,0))="","",INDEX(Itens!$F$2:$F$501,MATCH(57,Itens!$M$2:$M$501,0))),"")</f>
        <v/>
      </c>
      <c r="E69" s="17">
        <f>IFERROR(IF(INDEX(Itens!$G$2:$G$501,MATCH(57,Itens!$M$2:$M$501,0))="","",INDEX(Itens!$G$2:$G$501,MATCH(57,Itens!$M$2:$M$501,0))),"")</f>
        <v/>
      </c>
      <c r="F69" s="17">
        <f>IFERROR(IF(INDEX(Itens!$I$2:$I$501,MATCH(57,Itens!$M$2:$M$501,0))="","",INDEX(Itens!$I$2:$I$501,MATCH(57,Itens!$M$2:$M$501,0))),"")</f>
        <v/>
      </c>
      <c r="G69" s="17">
        <f>IFERROR(IF(INDEX(Itens!$J$2:$J$501,MATCH(57,Itens!$M$2:$M$501,0))="","",INDEX(Itens!$J$2:$J$501,MATCH(57,Itens!$M$2:$M$501,0))),"")</f>
        <v/>
      </c>
      <c r="H69" s="18">
        <f>IFERROR(IF(INDEX(Itens!$K$2:$K$501,MATCH(57,Itens!$M$2:$M$501,0))="","",INDEX(Itens!$K$2:$K$501,MATCH(57,Itens!$M$2:$M$501,0))),"")</f>
        <v/>
      </c>
      <c r="I69" s="17">
        <f>IFERROR(IF(INDEX(Itens!$L$2:$L$501,MATCH(57,Itens!$M$2:$M$501,0))="","",INDEX(Itens!$L$2:$L$501,MATCH(57,Itens!$M$2:$M$501,0))),"")</f>
        <v/>
      </c>
    </row>
    <row r="70">
      <c r="A70" s="17">
        <f>IFERROR(IF(INDEX(Itens!$A$2:$A$501,MATCH(58,Itens!$M$2:$M$501,0))="","",INDEX(Itens!$A$2:$A$501,MATCH(58,Itens!$M$2:$M$501,0))),"")</f>
        <v/>
      </c>
      <c r="B70" s="17">
        <f>IFERROR(IF(INDEX(Itens!$C$2:$C$501,MATCH(58,Itens!$M$2:$M$501,0))="","",INDEX(Itens!$C$2:$C$501,MATCH(58,Itens!$M$2:$M$501,0))),"")</f>
        <v/>
      </c>
      <c r="C70" s="17">
        <f>IFERROR(IF(INDEX(Itens!$E$2:$E$501,MATCH(58,Itens!$M$2:$M$501,0))="","",INDEX(Itens!$E$2:$E$501,MATCH(58,Itens!$M$2:$M$501,0))),"")</f>
        <v/>
      </c>
      <c r="D70" s="17">
        <f>IFERROR(IF(INDEX(Itens!$F$2:$F$501,MATCH(58,Itens!$M$2:$M$501,0))="","",INDEX(Itens!$F$2:$F$501,MATCH(58,Itens!$M$2:$M$501,0))),"")</f>
        <v/>
      </c>
      <c r="E70" s="17">
        <f>IFERROR(IF(INDEX(Itens!$G$2:$G$501,MATCH(58,Itens!$M$2:$M$501,0))="","",INDEX(Itens!$G$2:$G$501,MATCH(58,Itens!$M$2:$M$501,0))),"")</f>
        <v/>
      </c>
      <c r="F70" s="17">
        <f>IFERROR(IF(INDEX(Itens!$I$2:$I$501,MATCH(58,Itens!$M$2:$M$501,0))="","",INDEX(Itens!$I$2:$I$501,MATCH(58,Itens!$M$2:$M$501,0))),"")</f>
        <v/>
      </c>
      <c r="G70" s="17">
        <f>IFERROR(IF(INDEX(Itens!$J$2:$J$501,MATCH(58,Itens!$M$2:$M$501,0))="","",INDEX(Itens!$J$2:$J$501,MATCH(58,Itens!$M$2:$M$501,0))),"")</f>
        <v/>
      </c>
      <c r="H70" s="18">
        <f>IFERROR(IF(INDEX(Itens!$K$2:$K$501,MATCH(58,Itens!$M$2:$M$501,0))="","",INDEX(Itens!$K$2:$K$501,MATCH(58,Itens!$M$2:$M$501,0))),"")</f>
        <v/>
      </c>
      <c r="I70" s="17">
        <f>IFERROR(IF(INDEX(Itens!$L$2:$L$501,MATCH(58,Itens!$M$2:$M$501,0))="","",INDEX(Itens!$L$2:$L$501,MATCH(58,Itens!$M$2:$M$501,0))),"")</f>
        <v/>
      </c>
    </row>
    <row r="71">
      <c r="A71" s="17">
        <f>IFERROR(IF(INDEX(Itens!$A$2:$A$501,MATCH(59,Itens!$M$2:$M$501,0))="","",INDEX(Itens!$A$2:$A$501,MATCH(59,Itens!$M$2:$M$501,0))),"")</f>
        <v/>
      </c>
      <c r="B71" s="17">
        <f>IFERROR(IF(INDEX(Itens!$C$2:$C$501,MATCH(59,Itens!$M$2:$M$501,0))="","",INDEX(Itens!$C$2:$C$501,MATCH(59,Itens!$M$2:$M$501,0))),"")</f>
        <v/>
      </c>
      <c r="C71" s="17">
        <f>IFERROR(IF(INDEX(Itens!$E$2:$E$501,MATCH(59,Itens!$M$2:$M$501,0))="","",INDEX(Itens!$E$2:$E$501,MATCH(59,Itens!$M$2:$M$501,0))),"")</f>
        <v/>
      </c>
      <c r="D71" s="17">
        <f>IFERROR(IF(INDEX(Itens!$F$2:$F$501,MATCH(59,Itens!$M$2:$M$501,0))="","",INDEX(Itens!$F$2:$F$501,MATCH(59,Itens!$M$2:$M$501,0))),"")</f>
        <v/>
      </c>
      <c r="E71" s="17">
        <f>IFERROR(IF(INDEX(Itens!$G$2:$G$501,MATCH(59,Itens!$M$2:$M$501,0))="","",INDEX(Itens!$G$2:$G$501,MATCH(59,Itens!$M$2:$M$501,0))),"")</f>
        <v/>
      </c>
      <c r="F71" s="17">
        <f>IFERROR(IF(INDEX(Itens!$I$2:$I$501,MATCH(59,Itens!$M$2:$M$501,0))="","",INDEX(Itens!$I$2:$I$501,MATCH(59,Itens!$M$2:$M$501,0))),"")</f>
        <v/>
      </c>
      <c r="G71" s="17">
        <f>IFERROR(IF(INDEX(Itens!$J$2:$J$501,MATCH(59,Itens!$M$2:$M$501,0))="","",INDEX(Itens!$J$2:$J$501,MATCH(59,Itens!$M$2:$M$501,0))),"")</f>
        <v/>
      </c>
      <c r="H71" s="18">
        <f>IFERROR(IF(INDEX(Itens!$K$2:$K$501,MATCH(59,Itens!$M$2:$M$501,0))="","",INDEX(Itens!$K$2:$K$501,MATCH(59,Itens!$M$2:$M$501,0))),"")</f>
        <v/>
      </c>
      <c r="I71" s="17">
        <f>IFERROR(IF(INDEX(Itens!$L$2:$L$501,MATCH(59,Itens!$M$2:$M$501,0))="","",INDEX(Itens!$L$2:$L$501,MATCH(59,Itens!$M$2:$M$501,0))),"")</f>
        <v/>
      </c>
    </row>
    <row r="72">
      <c r="A72" s="17">
        <f>IFERROR(IF(INDEX(Itens!$A$2:$A$501,MATCH(60,Itens!$M$2:$M$501,0))="","",INDEX(Itens!$A$2:$A$501,MATCH(60,Itens!$M$2:$M$501,0))),"")</f>
        <v/>
      </c>
      <c r="B72" s="17">
        <f>IFERROR(IF(INDEX(Itens!$C$2:$C$501,MATCH(60,Itens!$M$2:$M$501,0))="","",INDEX(Itens!$C$2:$C$501,MATCH(60,Itens!$M$2:$M$501,0))),"")</f>
        <v/>
      </c>
      <c r="C72" s="17">
        <f>IFERROR(IF(INDEX(Itens!$E$2:$E$501,MATCH(60,Itens!$M$2:$M$501,0))="","",INDEX(Itens!$E$2:$E$501,MATCH(60,Itens!$M$2:$M$501,0))),"")</f>
        <v/>
      </c>
      <c r="D72" s="17">
        <f>IFERROR(IF(INDEX(Itens!$F$2:$F$501,MATCH(60,Itens!$M$2:$M$501,0))="","",INDEX(Itens!$F$2:$F$501,MATCH(60,Itens!$M$2:$M$501,0))),"")</f>
        <v/>
      </c>
      <c r="E72" s="17">
        <f>IFERROR(IF(INDEX(Itens!$G$2:$G$501,MATCH(60,Itens!$M$2:$M$501,0))="","",INDEX(Itens!$G$2:$G$501,MATCH(60,Itens!$M$2:$M$501,0))),"")</f>
        <v/>
      </c>
      <c r="F72" s="17">
        <f>IFERROR(IF(INDEX(Itens!$I$2:$I$501,MATCH(60,Itens!$M$2:$M$501,0))="","",INDEX(Itens!$I$2:$I$501,MATCH(60,Itens!$M$2:$M$501,0))),"")</f>
        <v/>
      </c>
      <c r="G72" s="17">
        <f>IFERROR(IF(INDEX(Itens!$J$2:$J$501,MATCH(60,Itens!$M$2:$M$501,0))="","",INDEX(Itens!$J$2:$J$501,MATCH(60,Itens!$M$2:$M$501,0))),"")</f>
        <v/>
      </c>
      <c r="H72" s="18">
        <f>IFERROR(IF(INDEX(Itens!$K$2:$K$501,MATCH(60,Itens!$M$2:$M$501,0))="","",INDEX(Itens!$K$2:$K$501,MATCH(60,Itens!$M$2:$M$501,0))),"")</f>
        <v/>
      </c>
      <c r="I72" s="17">
        <f>IFERROR(IF(INDEX(Itens!$L$2:$L$501,MATCH(60,Itens!$M$2:$M$501,0))="","",INDEX(Itens!$L$2:$L$501,MATCH(60,Itens!$M$2:$M$501,0))),"")</f>
        <v/>
      </c>
    </row>
    <row r="73">
      <c r="A73" s="17">
        <f>IFERROR(IF(INDEX(Itens!$A$2:$A$501,MATCH(61,Itens!$M$2:$M$501,0))="","",INDEX(Itens!$A$2:$A$501,MATCH(61,Itens!$M$2:$M$501,0))),"")</f>
        <v/>
      </c>
      <c r="B73" s="17">
        <f>IFERROR(IF(INDEX(Itens!$C$2:$C$501,MATCH(61,Itens!$M$2:$M$501,0))="","",INDEX(Itens!$C$2:$C$501,MATCH(61,Itens!$M$2:$M$501,0))),"")</f>
        <v/>
      </c>
      <c r="C73" s="17">
        <f>IFERROR(IF(INDEX(Itens!$E$2:$E$501,MATCH(61,Itens!$M$2:$M$501,0))="","",INDEX(Itens!$E$2:$E$501,MATCH(61,Itens!$M$2:$M$501,0))),"")</f>
        <v/>
      </c>
      <c r="D73" s="17">
        <f>IFERROR(IF(INDEX(Itens!$F$2:$F$501,MATCH(61,Itens!$M$2:$M$501,0))="","",INDEX(Itens!$F$2:$F$501,MATCH(61,Itens!$M$2:$M$501,0))),"")</f>
        <v/>
      </c>
      <c r="E73" s="17">
        <f>IFERROR(IF(INDEX(Itens!$G$2:$G$501,MATCH(61,Itens!$M$2:$M$501,0))="","",INDEX(Itens!$G$2:$G$501,MATCH(61,Itens!$M$2:$M$501,0))),"")</f>
        <v/>
      </c>
      <c r="F73" s="17">
        <f>IFERROR(IF(INDEX(Itens!$I$2:$I$501,MATCH(61,Itens!$M$2:$M$501,0))="","",INDEX(Itens!$I$2:$I$501,MATCH(61,Itens!$M$2:$M$501,0))),"")</f>
        <v/>
      </c>
      <c r="G73" s="17">
        <f>IFERROR(IF(INDEX(Itens!$J$2:$J$501,MATCH(61,Itens!$M$2:$M$501,0))="","",INDEX(Itens!$J$2:$J$501,MATCH(61,Itens!$M$2:$M$501,0))),"")</f>
        <v/>
      </c>
      <c r="H73" s="18">
        <f>IFERROR(IF(INDEX(Itens!$K$2:$K$501,MATCH(61,Itens!$M$2:$M$501,0))="","",INDEX(Itens!$K$2:$K$501,MATCH(61,Itens!$M$2:$M$501,0))),"")</f>
        <v/>
      </c>
      <c r="I73" s="17">
        <f>IFERROR(IF(INDEX(Itens!$L$2:$L$501,MATCH(61,Itens!$M$2:$M$501,0))="","",INDEX(Itens!$L$2:$L$501,MATCH(61,Itens!$M$2:$M$501,0))),"")</f>
        <v/>
      </c>
    </row>
    <row r="74">
      <c r="A74" s="17">
        <f>IFERROR(IF(INDEX(Itens!$A$2:$A$501,MATCH(62,Itens!$M$2:$M$501,0))="","",INDEX(Itens!$A$2:$A$501,MATCH(62,Itens!$M$2:$M$501,0))),"")</f>
        <v/>
      </c>
      <c r="B74" s="17">
        <f>IFERROR(IF(INDEX(Itens!$C$2:$C$501,MATCH(62,Itens!$M$2:$M$501,0))="","",INDEX(Itens!$C$2:$C$501,MATCH(62,Itens!$M$2:$M$501,0))),"")</f>
        <v/>
      </c>
      <c r="C74" s="17">
        <f>IFERROR(IF(INDEX(Itens!$E$2:$E$501,MATCH(62,Itens!$M$2:$M$501,0))="","",INDEX(Itens!$E$2:$E$501,MATCH(62,Itens!$M$2:$M$501,0))),"")</f>
        <v/>
      </c>
      <c r="D74" s="17">
        <f>IFERROR(IF(INDEX(Itens!$F$2:$F$501,MATCH(62,Itens!$M$2:$M$501,0))="","",INDEX(Itens!$F$2:$F$501,MATCH(62,Itens!$M$2:$M$501,0))),"")</f>
        <v/>
      </c>
      <c r="E74" s="17">
        <f>IFERROR(IF(INDEX(Itens!$G$2:$G$501,MATCH(62,Itens!$M$2:$M$501,0))="","",INDEX(Itens!$G$2:$G$501,MATCH(62,Itens!$M$2:$M$501,0))),"")</f>
        <v/>
      </c>
      <c r="F74" s="17">
        <f>IFERROR(IF(INDEX(Itens!$I$2:$I$501,MATCH(62,Itens!$M$2:$M$501,0))="","",INDEX(Itens!$I$2:$I$501,MATCH(62,Itens!$M$2:$M$501,0))),"")</f>
        <v/>
      </c>
      <c r="G74" s="17">
        <f>IFERROR(IF(INDEX(Itens!$J$2:$J$501,MATCH(62,Itens!$M$2:$M$501,0))="","",INDEX(Itens!$J$2:$J$501,MATCH(62,Itens!$M$2:$M$501,0))),"")</f>
        <v/>
      </c>
      <c r="H74" s="18">
        <f>IFERROR(IF(INDEX(Itens!$K$2:$K$501,MATCH(62,Itens!$M$2:$M$501,0))="","",INDEX(Itens!$K$2:$K$501,MATCH(62,Itens!$M$2:$M$501,0))),"")</f>
        <v/>
      </c>
      <c r="I74" s="17">
        <f>IFERROR(IF(INDEX(Itens!$L$2:$L$501,MATCH(62,Itens!$M$2:$M$501,0))="","",INDEX(Itens!$L$2:$L$501,MATCH(62,Itens!$M$2:$M$501,0))),"")</f>
        <v/>
      </c>
    </row>
    <row r="75">
      <c r="A75" s="17">
        <f>IFERROR(IF(INDEX(Itens!$A$2:$A$501,MATCH(63,Itens!$M$2:$M$501,0))="","",INDEX(Itens!$A$2:$A$501,MATCH(63,Itens!$M$2:$M$501,0))),"")</f>
        <v/>
      </c>
      <c r="B75" s="17">
        <f>IFERROR(IF(INDEX(Itens!$C$2:$C$501,MATCH(63,Itens!$M$2:$M$501,0))="","",INDEX(Itens!$C$2:$C$501,MATCH(63,Itens!$M$2:$M$501,0))),"")</f>
        <v/>
      </c>
      <c r="C75" s="17">
        <f>IFERROR(IF(INDEX(Itens!$E$2:$E$501,MATCH(63,Itens!$M$2:$M$501,0))="","",INDEX(Itens!$E$2:$E$501,MATCH(63,Itens!$M$2:$M$501,0))),"")</f>
        <v/>
      </c>
      <c r="D75" s="17">
        <f>IFERROR(IF(INDEX(Itens!$F$2:$F$501,MATCH(63,Itens!$M$2:$M$501,0))="","",INDEX(Itens!$F$2:$F$501,MATCH(63,Itens!$M$2:$M$501,0))),"")</f>
        <v/>
      </c>
      <c r="E75" s="17">
        <f>IFERROR(IF(INDEX(Itens!$G$2:$G$501,MATCH(63,Itens!$M$2:$M$501,0))="","",INDEX(Itens!$G$2:$G$501,MATCH(63,Itens!$M$2:$M$501,0))),"")</f>
        <v/>
      </c>
      <c r="F75" s="17">
        <f>IFERROR(IF(INDEX(Itens!$I$2:$I$501,MATCH(63,Itens!$M$2:$M$501,0))="","",INDEX(Itens!$I$2:$I$501,MATCH(63,Itens!$M$2:$M$501,0))),"")</f>
        <v/>
      </c>
      <c r="G75" s="17">
        <f>IFERROR(IF(INDEX(Itens!$J$2:$J$501,MATCH(63,Itens!$M$2:$M$501,0))="","",INDEX(Itens!$J$2:$J$501,MATCH(63,Itens!$M$2:$M$501,0))),"")</f>
        <v/>
      </c>
      <c r="H75" s="18">
        <f>IFERROR(IF(INDEX(Itens!$K$2:$K$501,MATCH(63,Itens!$M$2:$M$501,0))="","",INDEX(Itens!$K$2:$K$501,MATCH(63,Itens!$M$2:$M$501,0))),"")</f>
        <v/>
      </c>
      <c r="I75" s="17">
        <f>IFERROR(IF(INDEX(Itens!$L$2:$L$501,MATCH(63,Itens!$M$2:$M$501,0))="","",INDEX(Itens!$L$2:$L$501,MATCH(63,Itens!$M$2:$M$501,0))),"")</f>
        <v/>
      </c>
    </row>
    <row r="76">
      <c r="A76" s="17">
        <f>IFERROR(IF(INDEX(Itens!$A$2:$A$501,MATCH(64,Itens!$M$2:$M$501,0))="","",INDEX(Itens!$A$2:$A$501,MATCH(64,Itens!$M$2:$M$501,0))),"")</f>
        <v/>
      </c>
      <c r="B76" s="17">
        <f>IFERROR(IF(INDEX(Itens!$C$2:$C$501,MATCH(64,Itens!$M$2:$M$501,0))="","",INDEX(Itens!$C$2:$C$501,MATCH(64,Itens!$M$2:$M$501,0))),"")</f>
        <v/>
      </c>
      <c r="C76" s="17">
        <f>IFERROR(IF(INDEX(Itens!$E$2:$E$501,MATCH(64,Itens!$M$2:$M$501,0))="","",INDEX(Itens!$E$2:$E$501,MATCH(64,Itens!$M$2:$M$501,0))),"")</f>
        <v/>
      </c>
      <c r="D76" s="17">
        <f>IFERROR(IF(INDEX(Itens!$F$2:$F$501,MATCH(64,Itens!$M$2:$M$501,0))="","",INDEX(Itens!$F$2:$F$501,MATCH(64,Itens!$M$2:$M$501,0))),"")</f>
        <v/>
      </c>
      <c r="E76" s="17">
        <f>IFERROR(IF(INDEX(Itens!$G$2:$G$501,MATCH(64,Itens!$M$2:$M$501,0))="","",INDEX(Itens!$G$2:$G$501,MATCH(64,Itens!$M$2:$M$501,0))),"")</f>
        <v/>
      </c>
      <c r="F76" s="17">
        <f>IFERROR(IF(INDEX(Itens!$I$2:$I$501,MATCH(64,Itens!$M$2:$M$501,0))="","",INDEX(Itens!$I$2:$I$501,MATCH(64,Itens!$M$2:$M$501,0))),"")</f>
        <v/>
      </c>
      <c r="G76" s="17">
        <f>IFERROR(IF(INDEX(Itens!$J$2:$J$501,MATCH(64,Itens!$M$2:$M$501,0))="","",INDEX(Itens!$J$2:$J$501,MATCH(64,Itens!$M$2:$M$501,0))),"")</f>
        <v/>
      </c>
      <c r="H76" s="18">
        <f>IFERROR(IF(INDEX(Itens!$K$2:$K$501,MATCH(64,Itens!$M$2:$M$501,0))="","",INDEX(Itens!$K$2:$K$501,MATCH(64,Itens!$M$2:$M$501,0))),"")</f>
        <v/>
      </c>
      <c r="I76" s="17">
        <f>IFERROR(IF(INDEX(Itens!$L$2:$L$501,MATCH(64,Itens!$M$2:$M$501,0))="","",INDEX(Itens!$L$2:$L$501,MATCH(64,Itens!$M$2:$M$501,0))),"")</f>
        <v/>
      </c>
    </row>
    <row r="77">
      <c r="A77" s="17">
        <f>IFERROR(IF(INDEX(Itens!$A$2:$A$501,MATCH(65,Itens!$M$2:$M$501,0))="","",INDEX(Itens!$A$2:$A$501,MATCH(65,Itens!$M$2:$M$501,0))),"")</f>
        <v/>
      </c>
      <c r="B77" s="17">
        <f>IFERROR(IF(INDEX(Itens!$C$2:$C$501,MATCH(65,Itens!$M$2:$M$501,0))="","",INDEX(Itens!$C$2:$C$501,MATCH(65,Itens!$M$2:$M$501,0))),"")</f>
        <v/>
      </c>
      <c r="C77" s="17">
        <f>IFERROR(IF(INDEX(Itens!$E$2:$E$501,MATCH(65,Itens!$M$2:$M$501,0))="","",INDEX(Itens!$E$2:$E$501,MATCH(65,Itens!$M$2:$M$501,0))),"")</f>
        <v/>
      </c>
      <c r="D77" s="17">
        <f>IFERROR(IF(INDEX(Itens!$F$2:$F$501,MATCH(65,Itens!$M$2:$M$501,0))="","",INDEX(Itens!$F$2:$F$501,MATCH(65,Itens!$M$2:$M$501,0))),"")</f>
        <v/>
      </c>
      <c r="E77" s="17">
        <f>IFERROR(IF(INDEX(Itens!$G$2:$G$501,MATCH(65,Itens!$M$2:$M$501,0))="","",INDEX(Itens!$G$2:$G$501,MATCH(65,Itens!$M$2:$M$501,0))),"")</f>
        <v/>
      </c>
      <c r="F77" s="17">
        <f>IFERROR(IF(INDEX(Itens!$I$2:$I$501,MATCH(65,Itens!$M$2:$M$501,0))="","",INDEX(Itens!$I$2:$I$501,MATCH(65,Itens!$M$2:$M$501,0))),"")</f>
        <v/>
      </c>
      <c r="G77" s="17">
        <f>IFERROR(IF(INDEX(Itens!$J$2:$J$501,MATCH(65,Itens!$M$2:$M$501,0))="","",INDEX(Itens!$J$2:$J$501,MATCH(65,Itens!$M$2:$M$501,0))),"")</f>
        <v/>
      </c>
      <c r="H77" s="18">
        <f>IFERROR(IF(INDEX(Itens!$K$2:$K$501,MATCH(65,Itens!$M$2:$M$501,0))="","",INDEX(Itens!$K$2:$K$501,MATCH(65,Itens!$M$2:$M$501,0))),"")</f>
        <v/>
      </c>
      <c r="I77" s="17">
        <f>IFERROR(IF(INDEX(Itens!$L$2:$L$501,MATCH(65,Itens!$M$2:$M$501,0))="","",INDEX(Itens!$L$2:$L$501,MATCH(65,Itens!$M$2:$M$501,0))),"")</f>
        <v/>
      </c>
    </row>
    <row r="78">
      <c r="A78" s="17">
        <f>IFERROR(IF(INDEX(Itens!$A$2:$A$501,MATCH(66,Itens!$M$2:$M$501,0))="","",INDEX(Itens!$A$2:$A$501,MATCH(66,Itens!$M$2:$M$501,0))),"")</f>
        <v/>
      </c>
      <c r="B78" s="17">
        <f>IFERROR(IF(INDEX(Itens!$C$2:$C$501,MATCH(66,Itens!$M$2:$M$501,0))="","",INDEX(Itens!$C$2:$C$501,MATCH(66,Itens!$M$2:$M$501,0))),"")</f>
        <v/>
      </c>
      <c r="C78" s="17">
        <f>IFERROR(IF(INDEX(Itens!$E$2:$E$501,MATCH(66,Itens!$M$2:$M$501,0))="","",INDEX(Itens!$E$2:$E$501,MATCH(66,Itens!$M$2:$M$501,0))),"")</f>
        <v/>
      </c>
      <c r="D78" s="17">
        <f>IFERROR(IF(INDEX(Itens!$F$2:$F$501,MATCH(66,Itens!$M$2:$M$501,0))="","",INDEX(Itens!$F$2:$F$501,MATCH(66,Itens!$M$2:$M$501,0))),"")</f>
        <v/>
      </c>
      <c r="E78" s="17">
        <f>IFERROR(IF(INDEX(Itens!$G$2:$G$501,MATCH(66,Itens!$M$2:$M$501,0))="","",INDEX(Itens!$G$2:$G$501,MATCH(66,Itens!$M$2:$M$501,0))),"")</f>
        <v/>
      </c>
      <c r="F78" s="17">
        <f>IFERROR(IF(INDEX(Itens!$I$2:$I$501,MATCH(66,Itens!$M$2:$M$501,0))="","",INDEX(Itens!$I$2:$I$501,MATCH(66,Itens!$M$2:$M$501,0))),"")</f>
        <v/>
      </c>
      <c r="G78" s="17">
        <f>IFERROR(IF(INDEX(Itens!$J$2:$J$501,MATCH(66,Itens!$M$2:$M$501,0))="","",INDEX(Itens!$J$2:$J$501,MATCH(66,Itens!$M$2:$M$501,0))),"")</f>
        <v/>
      </c>
      <c r="H78" s="18">
        <f>IFERROR(IF(INDEX(Itens!$K$2:$K$501,MATCH(66,Itens!$M$2:$M$501,0))="","",INDEX(Itens!$K$2:$K$501,MATCH(66,Itens!$M$2:$M$501,0))),"")</f>
        <v/>
      </c>
      <c r="I78" s="17">
        <f>IFERROR(IF(INDEX(Itens!$L$2:$L$501,MATCH(66,Itens!$M$2:$M$501,0))="","",INDEX(Itens!$L$2:$L$501,MATCH(66,Itens!$M$2:$M$501,0))),"")</f>
        <v/>
      </c>
    </row>
    <row r="79">
      <c r="A79" s="17">
        <f>IFERROR(IF(INDEX(Itens!$A$2:$A$501,MATCH(67,Itens!$M$2:$M$501,0))="","",INDEX(Itens!$A$2:$A$501,MATCH(67,Itens!$M$2:$M$501,0))),"")</f>
        <v/>
      </c>
      <c r="B79" s="17">
        <f>IFERROR(IF(INDEX(Itens!$C$2:$C$501,MATCH(67,Itens!$M$2:$M$501,0))="","",INDEX(Itens!$C$2:$C$501,MATCH(67,Itens!$M$2:$M$501,0))),"")</f>
        <v/>
      </c>
      <c r="C79" s="17">
        <f>IFERROR(IF(INDEX(Itens!$E$2:$E$501,MATCH(67,Itens!$M$2:$M$501,0))="","",INDEX(Itens!$E$2:$E$501,MATCH(67,Itens!$M$2:$M$501,0))),"")</f>
        <v/>
      </c>
      <c r="D79" s="17">
        <f>IFERROR(IF(INDEX(Itens!$F$2:$F$501,MATCH(67,Itens!$M$2:$M$501,0))="","",INDEX(Itens!$F$2:$F$501,MATCH(67,Itens!$M$2:$M$501,0))),"")</f>
        <v/>
      </c>
      <c r="E79" s="17">
        <f>IFERROR(IF(INDEX(Itens!$G$2:$G$501,MATCH(67,Itens!$M$2:$M$501,0))="","",INDEX(Itens!$G$2:$G$501,MATCH(67,Itens!$M$2:$M$501,0))),"")</f>
        <v/>
      </c>
      <c r="F79" s="17">
        <f>IFERROR(IF(INDEX(Itens!$I$2:$I$501,MATCH(67,Itens!$M$2:$M$501,0))="","",INDEX(Itens!$I$2:$I$501,MATCH(67,Itens!$M$2:$M$501,0))),"")</f>
        <v/>
      </c>
      <c r="G79" s="17">
        <f>IFERROR(IF(INDEX(Itens!$J$2:$J$501,MATCH(67,Itens!$M$2:$M$501,0))="","",INDEX(Itens!$J$2:$J$501,MATCH(67,Itens!$M$2:$M$501,0))),"")</f>
        <v/>
      </c>
      <c r="H79" s="18">
        <f>IFERROR(IF(INDEX(Itens!$K$2:$K$501,MATCH(67,Itens!$M$2:$M$501,0))="","",INDEX(Itens!$K$2:$K$501,MATCH(67,Itens!$M$2:$M$501,0))),"")</f>
        <v/>
      </c>
      <c r="I79" s="17">
        <f>IFERROR(IF(INDEX(Itens!$L$2:$L$501,MATCH(67,Itens!$M$2:$M$501,0))="","",INDEX(Itens!$L$2:$L$501,MATCH(67,Itens!$M$2:$M$501,0))),"")</f>
        <v/>
      </c>
    </row>
    <row r="80">
      <c r="A80" s="17">
        <f>IFERROR(IF(INDEX(Itens!$A$2:$A$501,MATCH(68,Itens!$M$2:$M$501,0))="","",INDEX(Itens!$A$2:$A$501,MATCH(68,Itens!$M$2:$M$501,0))),"")</f>
        <v/>
      </c>
      <c r="B80" s="17">
        <f>IFERROR(IF(INDEX(Itens!$C$2:$C$501,MATCH(68,Itens!$M$2:$M$501,0))="","",INDEX(Itens!$C$2:$C$501,MATCH(68,Itens!$M$2:$M$501,0))),"")</f>
        <v/>
      </c>
      <c r="C80" s="17">
        <f>IFERROR(IF(INDEX(Itens!$E$2:$E$501,MATCH(68,Itens!$M$2:$M$501,0))="","",INDEX(Itens!$E$2:$E$501,MATCH(68,Itens!$M$2:$M$501,0))),"")</f>
        <v/>
      </c>
      <c r="D80" s="17">
        <f>IFERROR(IF(INDEX(Itens!$F$2:$F$501,MATCH(68,Itens!$M$2:$M$501,0))="","",INDEX(Itens!$F$2:$F$501,MATCH(68,Itens!$M$2:$M$501,0))),"")</f>
        <v/>
      </c>
      <c r="E80" s="17">
        <f>IFERROR(IF(INDEX(Itens!$G$2:$G$501,MATCH(68,Itens!$M$2:$M$501,0))="","",INDEX(Itens!$G$2:$G$501,MATCH(68,Itens!$M$2:$M$501,0))),"")</f>
        <v/>
      </c>
      <c r="F80" s="17">
        <f>IFERROR(IF(INDEX(Itens!$I$2:$I$501,MATCH(68,Itens!$M$2:$M$501,0))="","",INDEX(Itens!$I$2:$I$501,MATCH(68,Itens!$M$2:$M$501,0))),"")</f>
        <v/>
      </c>
      <c r="G80" s="17">
        <f>IFERROR(IF(INDEX(Itens!$J$2:$J$501,MATCH(68,Itens!$M$2:$M$501,0))="","",INDEX(Itens!$J$2:$J$501,MATCH(68,Itens!$M$2:$M$501,0))),"")</f>
        <v/>
      </c>
      <c r="H80" s="18">
        <f>IFERROR(IF(INDEX(Itens!$K$2:$K$501,MATCH(68,Itens!$M$2:$M$501,0))="","",INDEX(Itens!$K$2:$K$501,MATCH(68,Itens!$M$2:$M$501,0))),"")</f>
        <v/>
      </c>
      <c r="I80" s="17">
        <f>IFERROR(IF(INDEX(Itens!$L$2:$L$501,MATCH(68,Itens!$M$2:$M$501,0))="","",INDEX(Itens!$L$2:$L$501,MATCH(68,Itens!$M$2:$M$501,0))),"")</f>
        <v/>
      </c>
    </row>
    <row r="81">
      <c r="A81" s="17">
        <f>IFERROR(IF(INDEX(Itens!$A$2:$A$501,MATCH(69,Itens!$M$2:$M$501,0))="","",INDEX(Itens!$A$2:$A$501,MATCH(69,Itens!$M$2:$M$501,0))),"")</f>
        <v/>
      </c>
      <c r="B81" s="17">
        <f>IFERROR(IF(INDEX(Itens!$C$2:$C$501,MATCH(69,Itens!$M$2:$M$501,0))="","",INDEX(Itens!$C$2:$C$501,MATCH(69,Itens!$M$2:$M$501,0))),"")</f>
        <v/>
      </c>
      <c r="C81" s="17">
        <f>IFERROR(IF(INDEX(Itens!$E$2:$E$501,MATCH(69,Itens!$M$2:$M$501,0))="","",INDEX(Itens!$E$2:$E$501,MATCH(69,Itens!$M$2:$M$501,0))),"")</f>
        <v/>
      </c>
      <c r="D81" s="17">
        <f>IFERROR(IF(INDEX(Itens!$F$2:$F$501,MATCH(69,Itens!$M$2:$M$501,0))="","",INDEX(Itens!$F$2:$F$501,MATCH(69,Itens!$M$2:$M$501,0))),"")</f>
        <v/>
      </c>
      <c r="E81" s="17">
        <f>IFERROR(IF(INDEX(Itens!$G$2:$G$501,MATCH(69,Itens!$M$2:$M$501,0))="","",INDEX(Itens!$G$2:$G$501,MATCH(69,Itens!$M$2:$M$501,0))),"")</f>
        <v/>
      </c>
      <c r="F81" s="17">
        <f>IFERROR(IF(INDEX(Itens!$I$2:$I$501,MATCH(69,Itens!$M$2:$M$501,0))="","",INDEX(Itens!$I$2:$I$501,MATCH(69,Itens!$M$2:$M$501,0))),"")</f>
        <v/>
      </c>
      <c r="G81" s="17">
        <f>IFERROR(IF(INDEX(Itens!$J$2:$J$501,MATCH(69,Itens!$M$2:$M$501,0))="","",INDEX(Itens!$J$2:$J$501,MATCH(69,Itens!$M$2:$M$501,0))),"")</f>
        <v/>
      </c>
      <c r="H81" s="18">
        <f>IFERROR(IF(INDEX(Itens!$K$2:$K$501,MATCH(69,Itens!$M$2:$M$501,0))="","",INDEX(Itens!$K$2:$K$501,MATCH(69,Itens!$M$2:$M$501,0))),"")</f>
        <v/>
      </c>
      <c r="I81" s="17">
        <f>IFERROR(IF(INDEX(Itens!$L$2:$L$501,MATCH(69,Itens!$M$2:$M$501,0))="","",INDEX(Itens!$L$2:$L$501,MATCH(69,Itens!$M$2:$M$501,0))),"")</f>
        <v/>
      </c>
    </row>
    <row r="82">
      <c r="A82" s="17">
        <f>IFERROR(IF(INDEX(Itens!$A$2:$A$501,MATCH(70,Itens!$M$2:$M$501,0))="","",INDEX(Itens!$A$2:$A$501,MATCH(70,Itens!$M$2:$M$501,0))),"")</f>
        <v/>
      </c>
      <c r="B82" s="17">
        <f>IFERROR(IF(INDEX(Itens!$C$2:$C$501,MATCH(70,Itens!$M$2:$M$501,0))="","",INDEX(Itens!$C$2:$C$501,MATCH(70,Itens!$M$2:$M$501,0))),"")</f>
        <v/>
      </c>
      <c r="C82" s="17">
        <f>IFERROR(IF(INDEX(Itens!$E$2:$E$501,MATCH(70,Itens!$M$2:$M$501,0))="","",INDEX(Itens!$E$2:$E$501,MATCH(70,Itens!$M$2:$M$501,0))),"")</f>
        <v/>
      </c>
      <c r="D82" s="17">
        <f>IFERROR(IF(INDEX(Itens!$F$2:$F$501,MATCH(70,Itens!$M$2:$M$501,0))="","",INDEX(Itens!$F$2:$F$501,MATCH(70,Itens!$M$2:$M$501,0))),"")</f>
        <v/>
      </c>
      <c r="E82" s="17">
        <f>IFERROR(IF(INDEX(Itens!$G$2:$G$501,MATCH(70,Itens!$M$2:$M$501,0))="","",INDEX(Itens!$G$2:$G$501,MATCH(70,Itens!$M$2:$M$501,0))),"")</f>
        <v/>
      </c>
      <c r="F82" s="17">
        <f>IFERROR(IF(INDEX(Itens!$I$2:$I$501,MATCH(70,Itens!$M$2:$M$501,0))="","",INDEX(Itens!$I$2:$I$501,MATCH(70,Itens!$M$2:$M$501,0))),"")</f>
        <v/>
      </c>
      <c r="G82" s="17">
        <f>IFERROR(IF(INDEX(Itens!$J$2:$J$501,MATCH(70,Itens!$M$2:$M$501,0))="","",INDEX(Itens!$J$2:$J$501,MATCH(70,Itens!$M$2:$M$501,0))),"")</f>
        <v/>
      </c>
      <c r="H82" s="18">
        <f>IFERROR(IF(INDEX(Itens!$K$2:$K$501,MATCH(70,Itens!$M$2:$M$501,0))="","",INDEX(Itens!$K$2:$K$501,MATCH(70,Itens!$M$2:$M$501,0))),"")</f>
        <v/>
      </c>
      <c r="I82" s="17">
        <f>IFERROR(IF(INDEX(Itens!$L$2:$L$501,MATCH(70,Itens!$M$2:$M$501,0))="","",INDEX(Itens!$L$2:$L$501,MATCH(70,Itens!$M$2:$M$501,0))),"")</f>
        <v/>
      </c>
    </row>
    <row r="83">
      <c r="A83" s="17">
        <f>IFERROR(IF(INDEX(Itens!$A$2:$A$501,MATCH(71,Itens!$M$2:$M$501,0))="","",INDEX(Itens!$A$2:$A$501,MATCH(71,Itens!$M$2:$M$501,0))),"")</f>
        <v/>
      </c>
      <c r="B83" s="17">
        <f>IFERROR(IF(INDEX(Itens!$C$2:$C$501,MATCH(71,Itens!$M$2:$M$501,0))="","",INDEX(Itens!$C$2:$C$501,MATCH(71,Itens!$M$2:$M$501,0))),"")</f>
        <v/>
      </c>
      <c r="C83" s="17">
        <f>IFERROR(IF(INDEX(Itens!$E$2:$E$501,MATCH(71,Itens!$M$2:$M$501,0))="","",INDEX(Itens!$E$2:$E$501,MATCH(71,Itens!$M$2:$M$501,0))),"")</f>
        <v/>
      </c>
      <c r="D83" s="17">
        <f>IFERROR(IF(INDEX(Itens!$F$2:$F$501,MATCH(71,Itens!$M$2:$M$501,0))="","",INDEX(Itens!$F$2:$F$501,MATCH(71,Itens!$M$2:$M$501,0))),"")</f>
        <v/>
      </c>
      <c r="E83" s="17">
        <f>IFERROR(IF(INDEX(Itens!$G$2:$G$501,MATCH(71,Itens!$M$2:$M$501,0))="","",INDEX(Itens!$G$2:$G$501,MATCH(71,Itens!$M$2:$M$501,0))),"")</f>
        <v/>
      </c>
      <c r="F83" s="17">
        <f>IFERROR(IF(INDEX(Itens!$I$2:$I$501,MATCH(71,Itens!$M$2:$M$501,0))="","",INDEX(Itens!$I$2:$I$501,MATCH(71,Itens!$M$2:$M$501,0))),"")</f>
        <v/>
      </c>
      <c r="G83" s="17">
        <f>IFERROR(IF(INDEX(Itens!$J$2:$J$501,MATCH(71,Itens!$M$2:$M$501,0))="","",INDEX(Itens!$J$2:$J$501,MATCH(71,Itens!$M$2:$M$501,0))),"")</f>
        <v/>
      </c>
      <c r="H83" s="18">
        <f>IFERROR(IF(INDEX(Itens!$K$2:$K$501,MATCH(71,Itens!$M$2:$M$501,0))="","",INDEX(Itens!$K$2:$K$501,MATCH(71,Itens!$M$2:$M$501,0))),"")</f>
        <v/>
      </c>
      <c r="I83" s="17">
        <f>IFERROR(IF(INDEX(Itens!$L$2:$L$501,MATCH(71,Itens!$M$2:$M$501,0))="","",INDEX(Itens!$L$2:$L$501,MATCH(71,Itens!$M$2:$M$501,0))),"")</f>
        <v/>
      </c>
    </row>
    <row r="84">
      <c r="A84" s="17">
        <f>IFERROR(IF(INDEX(Itens!$A$2:$A$501,MATCH(72,Itens!$M$2:$M$501,0))="","",INDEX(Itens!$A$2:$A$501,MATCH(72,Itens!$M$2:$M$501,0))),"")</f>
        <v/>
      </c>
      <c r="B84" s="17">
        <f>IFERROR(IF(INDEX(Itens!$C$2:$C$501,MATCH(72,Itens!$M$2:$M$501,0))="","",INDEX(Itens!$C$2:$C$501,MATCH(72,Itens!$M$2:$M$501,0))),"")</f>
        <v/>
      </c>
      <c r="C84" s="17">
        <f>IFERROR(IF(INDEX(Itens!$E$2:$E$501,MATCH(72,Itens!$M$2:$M$501,0))="","",INDEX(Itens!$E$2:$E$501,MATCH(72,Itens!$M$2:$M$501,0))),"")</f>
        <v/>
      </c>
      <c r="D84" s="17">
        <f>IFERROR(IF(INDEX(Itens!$F$2:$F$501,MATCH(72,Itens!$M$2:$M$501,0))="","",INDEX(Itens!$F$2:$F$501,MATCH(72,Itens!$M$2:$M$501,0))),"")</f>
        <v/>
      </c>
      <c r="E84" s="17">
        <f>IFERROR(IF(INDEX(Itens!$G$2:$G$501,MATCH(72,Itens!$M$2:$M$501,0))="","",INDEX(Itens!$G$2:$G$501,MATCH(72,Itens!$M$2:$M$501,0))),"")</f>
        <v/>
      </c>
      <c r="F84" s="17">
        <f>IFERROR(IF(INDEX(Itens!$I$2:$I$501,MATCH(72,Itens!$M$2:$M$501,0))="","",INDEX(Itens!$I$2:$I$501,MATCH(72,Itens!$M$2:$M$501,0))),"")</f>
        <v/>
      </c>
      <c r="G84" s="17">
        <f>IFERROR(IF(INDEX(Itens!$J$2:$J$501,MATCH(72,Itens!$M$2:$M$501,0))="","",INDEX(Itens!$J$2:$J$501,MATCH(72,Itens!$M$2:$M$501,0))),"")</f>
        <v/>
      </c>
      <c r="H84" s="18">
        <f>IFERROR(IF(INDEX(Itens!$K$2:$K$501,MATCH(72,Itens!$M$2:$M$501,0))="","",INDEX(Itens!$K$2:$K$501,MATCH(72,Itens!$M$2:$M$501,0))),"")</f>
        <v/>
      </c>
      <c r="I84" s="17">
        <f>IFERROR(IF(INDEX(Itens!$L$2:$L$501,MATCH(72,Itens!$M$2:$M$501,0))="","",INDEX(Itens!$L$2:$L$501,MATCH(72,Itens!$M$2:$M$501,0))),"")</f>
        <v/>
      </c>
    </row>
    <row r="85">
      <c r="A85" s="17">
        <f>IFERROR(IF(INDEX(Itens!$A$2:$A$501,MATCH(73,Itens!$M$2:$M$501,0))="","",INDEX(Itens!$A$2:$A$501,MATCH(73,Itens!$M$2:$M$501,0))),"")</f>
        <v/>
      </c>
      <c r="B85" s="17">
        <f>IFERROR(IF(INDEX(Itens!$C$2:$C$501,MATCH(73,Itens!$M$2:$M$501,0))="","",INDEX(Itens!$C$2:$C$501,MATCH(73,Itens!$M$2:$M$501,0))),"")</f>
        <v/>
      </c>
      <c r="C85" s="17">
        <f>IFERROR(IF(INDEX(Itens!$E$2:$E$501,MATCH(73,Itens!$M$2:$M$501,0))="","",INDEX(Itens!$E$2:$E$501,MATCH(73,Itens!$M$2:$M$501,0))),"")</f>
        <v/>
      </c>
      <c r="D85" s="17">
        <f>IFERROR(IF(INDEX(Itens!$F$2:$F$501,MATCH(73,Itens!$M$2:$M$501,0))="","",INDEX(Itens!$F$2:$F$501,MATCH(73,Itens!$M$2:$M$501,0))),"")</f>
        <v/>
      </c>
      <c r="E85" s="17">
        <f>IFERROR(IF(INDEX(Itens!$G$2:$G$501,MATCH(73,Itens!$M$2:$M$501,0))="","",INDEX(Itens!$G$2:$G$501,MATCH(73,Itens!$M$2:$M$501,0))),"")</f>
        <v/>
      </c>
      <c r="F85" s="17">
        <f>IFERROR(IF(INDEX(Itens!$I$2:$I$501,MATCH(73,Itens!$M$2:$M$501,0))="","",INDEX(Itens!$I$2:$I$501,MATCH(73,Itens!$M$2:$M$501,0))),"")</f>
        <v/>
      </c>
      <c r="G85" s="17">
        <f>IFERROR(IF(INDEX(Itens!$J$2:$J$501,MATCH(73,Itens!$M$2:$M$501,0))="","",INDEX(Itens!$J$2:$J$501,MATCH(73,Itens!$M$2:$M$501,0))),"")</f>
        <v/>
      </c>
      <c r="H85" s="18">
        <f>IFERROR(IF(INDEX(Itens!$K$2:$K$501,MATCH(73,Itens!$M$2:$M$501,0))="","",INDEX(Itens!$K$2:$K$501,MATCH(73,Itens!$M$2:$M$501,0))),"")</f>
        <v/>
      </c>
      <c r="I85" s="17">
        <f>IFERROR(IF(INDEX(Itens!$L$2:$L$501,MATCH(73,Itens!$M$2:$M$501,0))="","",INDEX(Itens!$L$2:$L$501,MATCH(73,Itens!$M$2:$M$501,0))),"")</f>
        <v/>
      </c>
    </row>
    <row r="86">
      <c r="A86" s="17">
        <f>IFERROR(IF(INDEX(Itens!$A$2:$A$501,MATCH(74,Itens!$M$2:$M$501,0))="","",INDEX(Itens!$A$2:$A$501,MATCH(74,Itens!$M$2:$M$501,0))),"")</f>
        <v/>
      </c>
      <c r="B86" s="17">
        <f>IFERROR(IF(INDEX(Itens!$C$2:$C$501,MATCH(74,Itens!$M$2:$M$501,0))="","",INDEX(Itens!$C$2:$C$501,MATCH(74,Itens!$M$2:$M$501,0))),"")</f>
        <v/>
      </c>
      <c r="C86" s="17">
        <f>IFERROR(IF(INDEX(Itens!$E$2:$E$501,MATCH(74,Itens!$M$2:$M$501,0))="","",INDEX(Itens!$E$2:$E$501,MATCH(74,Itens!$M$2:$M$501,0))),"")</f>
        <v/>
      </c>
      <c r="D86" s="17">
        <f>IFERROR(IF(INDEX(Itens!$F$2:$F$501,MATCH(74,Itens!$M$2:$M$501,0))="","",INDEX(Itens!$F$2:$F$501,MATCH(74,Itens!$M$2:$M$501,0))),"")</f>
        <v/>
      </c>
      <c r="E86" s="17">
        <f>IFERROR(IF(INDEX(Itens!$G$2:$G$501,MATCH(74,Itens!$M$2:$M$501,0))="","",INDEX(Itens!$G$2:$G$501,MATCH(74,Itens!$M$2:$M$501,0))),"")</f>
        <v/>
      </c>
      <c r="F86" s="17">
        <f>IFERROR(IF(INDEX(Itens!$I$2:$I$501,MATCH(74,Itens!$M$2:$M$501,0))="","",INDEX(Itens!$I$2:$I$501,MATCH(74,Itens!$M$2:$M$501,0))),"")</f>
        <v/>
      </c>
      <c r="G86" s="17">
        <f>IFERROR(IF(INDEX(Itens!$J$2:$J$501,MATCH(74,Itens!$M$2:$M$501,0))="","",INDEX(Itens!$J$2:$J$501,MATCH(74,Itens!$M$2:$M$501,0))),"")</f>
        <v/>
      </c>
      <c r="H86" s="18">
        <f>IFERROR(IF(INDEX(Itens!$K$2:$K$501,MATCH(74,Itens!$M$2:$M$501,0))="","",INDEX(Itens!$K$2:$K$501,MATCH(74,Itens!$M$2:$M$501,0))),"")</f>
        <v/>
      </c>
      <c r="I86" s="17">
        <f>IFERROR(IF(INDEX(Itens!$L$2:$L$501,MATCH(74,Itens!$M$2:$M$501,0))="","",INDEX(Itens!$L$2:$L$501,MATCH(74,Itens!$M$2:$M$501,0))),"")</f>
        <v/>
      </c>
    </row>
    <row r="87">
      <c r="A87" s="17">
        <f>IFERROR(IF(INDEX(Itens!$A$2:$A$501,MATCH(75,Itens!$M$2:$M$501,0))="","",INDEX(Itens!$A$2:$A$501,MATCH(75,Itens!$M$2:$M$501,0))),"")</f>
        <v/>
      </c>
      <c r="B87" s="17">
        <f>IFERROR(IF(INDEX(Itens!$C$2:$C$501,MATCH(75,Itens!$M$2:$M$501,0))="","",INDEX(Itens!$C$2:$C$501,MATCH(75,Itens!$M$2:$M$501,0))),"")</f>
        <v/>
      </c>
      <c r="C87" s="17">
        <f>IFERROR(IF(INDEX(Itens!$E$2:$E$501,MATCH(75,Itens!$M$2:$M$501,0))="","",INDEX(Itens!$E$2:$E$501,MATCH(75,Itens!$M$2:$M$501,0))),"")</f>
        <v/>
      </c>
      <c r="D87" s="17">
        <f>IFERROR(IF(INDEX(Itens!$F$2:$F$501,MATCH(75,Itens!$M$2:$M$501,0))="","",INDEX(Itens!$F$2:$F$501,MATCH(75,Itens!$M$2:$M$501,0))),"")</f>
        <v/>
      </c>
      <c r="E87" s="17">
        <f>IFERROR(IF(INDEX(Itens!$G$2:$G$501,MATCH(75,Itens!$M$2:$M$501,0))="","",INDEX(Itens!$G$2:$G$501,MATCH(75,Itens!$M$2:$M$501,0))),"")</f>
        <v/>
      </c>
      <c r="F87" s="17">
        <f>IFERROR(IF(INDEX(Itens!$I$2:$I$501,MATCH(75,Itens!$M$2:$M$501,0))="","",INDEX(Itens!$I$2:$I$501,MATCH(75,Itens!$M$2:$M$501,0))),"")</f>
        <v/>
      </c>
      <c r="G87" s="17">
        <f>IFERROR(IF(INDEX(Itens!$J$2:$J$501,MATCH(75,Itens!$M$2:$M$501,0))="","",INDEX(Itens!$J$2:$J$501,MATCH(75,Itens!$M$2:$M$501,0))),"")</f>
        <v/>
      </c>
      <c r="H87" s="18">
        <f>IFERROR(IF(INDEX(Itens!$K$2:$K$501,MATCH(75,Itens!$M$2:$M$501,0))="","",INDEX(Itens!$K$2:$K$501,MATCH(75,Itens!$M$2:$M$501,0))),"")</f>
        <v/>
      </c>
      <c r="I87" s="17">
        <f>IFERROR(IF(INDEX(Itens!$L$2:$L$501,MATCH(75,Itens!$M$2:$M$501,0))="","",INDEX(Itens!$L$2:$L$501,MATCH(75,Itens!$M$2:$M$501,0))),"")</f>
        <v/>
      </c>
    </row>
    <row r="88">
      <c r="A88" s="17">
        <f>IFERROR(IF(INDEX(Itens!$A$2:$A$501,MATCH(76,Itens!$M$2:$M$501,0))="","",INDEX(Itens!$A$2:$A$501,MATCH(76,Itens!$M$2:$M$501,0))),"")</f>
        <v/>
      </c>
      <c r="B88" s="17">
        <f>IFERROR(IF(INDEX(Itens!$C$2:$C$501,MATCH(76,Itens!$M$2:$M$501,0))="","",INDEX(Itens!$C$2:$C$501,MATCH(76,Itens!$M$2:$M$501,0))),"")</f>
        <v/>
      </c>
      <c r="C88" s="17">
        <f>IFERROR(IF(INDEX(Itens!$E$2:$E$501,MATCH(76,Itens!$M$2:$M$501,0))="","",INDEX(Itens!$E$2:$E$501,MATCH(76,Itens!$M$2:$M$501,0))),"")</f>
        <v/>
      </c>
      <c r="D88" s="17">
        <f>IFERROR(IF(INDEX(Itens!$F$2:$F$501,MATCH(76,Itens!$M$2:$M$501,0))="","",INDEX(Itens!$F$2:$F$501,MATCH(76,Itens!$M$2:$M$501,0))),"")</f>
        <v/>
      </c>
      <c r="E88" s="17">
        <f>IFERROR(IF(INDEX(Itens!$G$2:$G$501,MATCH(76,Itens!$M$2:$M$501,0))="","",INDEX(Itens!$G$2:$G$501,MATCH(76,Itens!$M$2:$M$501,0))),"")</f>
        <v/>
      </c>
      <c r="F88" s="17">
        <f>IFERROR(IF(INDEX(Itens!$I$2:$I$501,MATCH(76,Itens!$M$2:$M$501,0))="","",INDEX(Itens!$I$2:$I$501,MATCH(76,Itens!$M$2:$M$501,0))),"")</f>
        <v/>
      </c>
      <c r="G88" s="17">
        <f>IFERROR(IF(INDEX(Itens!$J$2:$J$501,MATCH(76,Itens!$M$2:$M$501,0))="","",INDEX(Itens!$J$2:$J$501,MATCH(76,Itens!$M$2:$M$501,0))),"")</f>
        <v/>
      </c>
      <c r="H88" s="18">
        <f>IFERROR(IF(INDEX(Itens!$K$2:$K$501,MATCH(76,Itens!$M$2:$M$501,0))="","",INDEX(Itens!$K$2:$K$501,MATCH(76,Itens!$M$2:$M$501,0))),"")</f>
        <v/>
      </c>
      <c r="I88" s="17">
        <f>IFERROR(IF(INDEX(Itens!$L$2:$L$501,MATCH(76,Itens!$M$2:$M$501,0))="","",INDEX(Itens!$L$2:$L$501,MATCH(76,Itens!$M$2:$M$501,0))),"")</f>
        <v/>
      </c>
    </row>
    <row r="89">
      <c r="A89" s="17">
        <f>IFERROR(IF(INDEX(Itens!$A$2:$A$501,MATCH(77,Itens!$M$2:$M$501,0))="","",INDEX(Itens!$A$2:$A$501,MATCH(77,Itens!$M$2:$M$501,0))),"")</f>
        <v/>
      </c>
      <c r="B89" s="17">
        <f>IFERROR(IF(INDEX(Itens!$C$2:$C$501,MATCH(77,Itens!$M$2:$M$501,0))="","",INDEX(Itens!$C$2:$C$501,MATCH(77,Itens!$M$2:$M$501,0))),"")</f>
        <v/>
      </c>
      <c r="C89" s="17">
        <f>IFERROR(IF(INDEX(Itens!$E$2:$E$501,MATCH(77,Itens!$M$2:$M$501,0))="","",INDEX(Itens!$E$2:$E$501,MATCH(77,Itens!$M$2:$M$501,0))),"")</f>
        <v/>
      </c>
      <c r="D89" s="17">
        <f>IFERROR(IF(INDEX(Itens!$F$2:$F$501,MATCH(77,Itens!$M$2:$M$501,0))="","",INDEX(Itens!$F$2:$F$501,MATCH(77,Itens!$M$2:$M$501,0))),"")</f>
        <v/>
      </c>
      <c r="E89" s="17">
        <f>IFERROR(IF(INDEX(Itens!$G$2:$G$501,MATCH(77,Itens!$M$2:$M$501,0))="","",INDEX(Itens!$G$2:$G$501,MATCH(77,Itens!$M$2:$M$501,0))),"")</f>
        <v/>
      </c>
      <c r="F89" s="17">
        <f>IFERROR(IF(INDEX(Itens!$I$2:$I$501,MATCH(77,Itens!$M$2:$M$501,0))="","",INDEX(Itens!$I$2:$I$501,MATCH(77,Itens!$M$2:$M$501,0))),"")</f>
        <v/>
      </c>
      <c r="G89" s="17">
        <f>IFERROR(IF(INDEX(Itens!$J$2:$J$501,MATCH(77,Itens!$M$2:$M$501,0))="","",INDEX(Itens!$J$2:$J$501,MATCH(77,Itens!$M$2:$M$501,0))),"")</f>
        <v/>
      </c>
      <c r="H89" s="18">
        <f>IFERROR(IF(INDEX(Itens!$K$2:$K$501,MATCH(77,Itens!$M$2:$M$501,0))="","",INDEX(Itens!$K$2:$K$501,MATCH(77,Itens!$M$2:$M$501,0))),"")</f>
        <v/>
      </c>
      <c r="I89" s="17">
        <f>IFERROR(IF(INDEX(Itens!$L$2:$L$501,MATCH(77,Itens!$M$2:$M$501,0))="","",INDEX(Itens!$L$2:$L$501,MATCH(77,Itens!$M$2:$M$501,0))),"")</f>
        <v/>
      </c>
    </row>
    <row r="90">
      <c r="A90" s="17">
        <f>IFERROR(IF(INDEX(Itens!$A$2:$A$501,MATCH(78,Itens!$M$2:$M$501,0))="","",INDEX(Itens!$A$2:$A$501,MATCH(78,Itens!$M$2:$M$501,0))),"")</f>
        <v/>
      </c>
      <c r="B90" s="17">
        <f>IFERROR(IF(INDEX(Itens!$C$2:$C$501,MATCH(78,Itens!$M$2:$M$501,0))="","",INDEX(Itens!$C$2:$C$501,MATCH(78,Itens!$M$2:$M$501,0))),"")</f>
        <v/>
      </c>
      <c r="C90" s="17">
        <f>IFERROR(IF(INDEX(Itens!$E$2:$E$501,MATCH(78,Itens!$M$2:$M$501,0))="","",INDEX(Itens!$E$2:$E$501,MATCH(78,Itens!$M$2:$M$501,0))),"")</f>
        <v/>
      </c>
      <c r="D90" s="17">
        <f>IFERROR(IF(INDEX(Itens!$F$2:$F$501,MATCH(78,Itens!$M$2:$M$501,0))="","",INDEX(Itens!$F$2:$F$501,MATCH(78,Itens!$M$2:$M$501,0))),"")</f>
        <v/>
      </c>
      <c r="E90" s="17">
        <f>IFERROR(IF(INDEX(Itens!$G$2:$G$501,MATCH(78,Itens!$M$2:$M$501,0))="","",INDEX(Itens!$G$2:$G$501,MATCH(78,Itens!$M$2:$M$501,0))),"")</f>
        <v/>
      </c>
      <c r="F90" s="17">
        <f>IFERROR(IF(INDEX(Itens!$I$2:$I$501,MATCH(78,Itens!$M$2:$M$501,0))="","",INDEX(Itens!$I$2:$I$501,MATCH(78,Itens!$M$2:$M$501,0))),"")</f>
        <v/>
      </c>
      <c r="G90" s="17">
        <f>IFERROR(IF(INDEX(Itens!$J$2:$J$501,MATCH(78,Itens!$M$2:$M$501,0))="","",INDEX(Itens!$J$2:$J$501,MATCH(78,Itens!$M$2:$M$501,0))),"")</f>
        <v/>
      </c>
      <c r="H90" s="18">
        <f>IFERROR(IF(INDEX(Itens!$K$2:$K$501,MATCH(78,Itens!$M$2:$M$501,0))="","",INDEX(Itens!$K$2:$K$501,MATCH(78,Itens!$M$2:$M$501,0))),"")</f>
        <v/>
      </c>
      <c r="I90" s="17">
        <f>IFERROR(IF(INDEX(Itens!$L$2:$L$501,MATCH(78,Itens!$M$2:$M$501,0))="","",INDEX(Itens!$L$2:$L$501,MATCH(78,Itens!$M$2:$M$501,0))),"")</f>
        <v/>
      </c>
    </row>
    <row r="91">
      <c r="A91" s="17">
        <f>IFERROR(IF(INDEX(Itens!$A$2:$A$501,MATCH(79,Itens!$M$2:$M$501,0))="","",INDEX(Itens!$A$2:$A$501,MATCH(79,Itens!$M$2:$M$501,0))),"")</f>
        <v/>
      </c>
      <c r="B91" s="17">
        <f>IFERROR(IF(INDEX(Itens!$C$2:$C$501,MATCH(79,Itens!$M$2:$M$501,0))="","",INDEX(Itens!$C$2:$C$501,MATCH(79,Itens!$M$2:$M$501,0))),"")</f>
        <v/>
      </c>
      <c r="C91" s="17">
        <f>IFERROR(IF(INDEX(Itens!$E$2:$E$501,MATCH(79,Itens!$M$2:$M$501,0))="","",INDEX(Itens!$E$2:$E$501,MATCH(79,Itens!$M$2:$M$501,0))),"")</f>
        <v/>
      </c>
      <c r="D91" s="17">
        <f>IFERROR(IF(INDEX(Itens!$F$2:$F$501,MATCH(79,Itens!$M$2:$M$501,0))="","",INDEX(Itens!$F$2:$F$501,MATCH(79,Itens!$M$2:$M$501,0))),"")</f>
        <v/>
      </c>
      <c r="E91" s="17">
        <f>IFERROR(IF(INDEX(Itens!$G$2:$G$501,MATCH(79,Itens!$M$2:$M$501,0))="","",INDEX(Itens!$G$2:$G$501,MATCH(79,Itens!$M$2:$M$501,0))),"")</f>
        <v/>
      </c>
      <c r="F91" s="17">
        <f>IFERROR(IF(INDEX(Itens!$I$2:$I$501,MATCH(79,Itens!$M$2:$M$501,0))="","",INDEX(Itens!$I$2:$I$501,MATCH(79,Itens!$M$2:$M$501,0))),"")</f>
        <v/>
      </c>
      <c r="G91" s="17">
        <f>IFERROR(IF(INDEX(Itens!$J$2:$J$501,MATCH(79,Itens!$M$2:$M$501,0))="","",INDEX(Itens!$J$2:$J$501,MATCH(79,Itens!$M$2:$M$501,0))),"")</f>
        <v/>
      </c>
      <c r="H91" s="18">
        <f>IFERROR(IF(INDEX(Itens!$K$2:$K$501,MATCH(79,Itens!$M$2:$M$501,0))="","",INDEX(Itens!$K$2:$K$501,MATCH(79,Itens!$M$2:$M$501,0))),"")</f>
        <v/>
      </c>
      <c r="I91" s="17">
        <f>IFERROR(IF(INDEX(Itens!$L$2:$L$501,MATCH(79,Itens!$M$2:$M$501,0))="","",INDEX(Itens!$L$2:$L$501,MATCH(79,Itens!$M$2:$M$501,0))),"")</f>
        <v/>
      </c>
    </row>
    <row r="92">
      <c r="A92" s="17">
        <f>IFERROR(IF(INDEX(Itens!$A$2:$A$501,MATCH(80,Itens!$M$2:$M$501,0))="","",INDEX(Itens!$A$2:$A$501,MATCH(80,Itens!$M$2:$M$501,0))),"")</f>
        <v/>
      </c>
      <c r="B92" s="17">
        <f>IFERROR(IF(INDEX(Itens!$C$2:$C$501,MATCH(80,Itens!$M$2:$M$501,0))="","",INDEX(Itens!$C$2:$C$501,MATCH(80,Itens!$M$2:$M$501,0))),"")</f>
        <v/>
      </c>
      <c r="C92" s="17">
        <f>IFERROR(IF(INDEX(Itens!$E$2:$E$501,MATCH(80,Itens!$M$2:$M$501,0))="","",INDEX(Itens!$E$2:$E$501,MATCH(80,Itens!$M$2:$M$501,0))),"")</f>
        <v/>
      </c>
      <c r="D92" s="17">
        <f>IFERROR(IF(INDEX(Itens!$F$2:$F$501,MATCH(80,Itens!$M$2:$M$501,0))="","",INDEX(Itens!$F$2:$F$501,MATCH(80,Itens!$M$2:$M$501,0))),"")</f>
        <v/>
      </c>
      <c r="E92" s="17">
        <f>IFERROR(IF(INDEX(Itens!$G$2:$G$501,MATCH(80,Itens!$M$2:$M$501,0))="","",INDEX(Itens!$G$2:$G$501,MATCH(80,Itens!$M$2:$M$501,0))),"")</f>
        <v/>
      </c>
      <c r="F92" s="17">
        <f>IFERROR(IF(INDEX(Itens!$I$2:$I$501,MATCH(80,Itens!$M$2:$M$501,0))="","",INDEX(Itens!$I$2:$I$501,MATCH(80,Itens!$M$2:$M$501,0))),"")</f>
        <v/>
      </c>
      <c r="G92" s="17">
        <f>IFERROR(IF(INDEX(Itens!$J$2:$J$501,MATCH(80,Itens!$M$2:$M$501,0))="","",INDEX(Itens!$J$2:$J$501,MATCH(80,Itens!$M$2:$M$501,0))),"")</f>
        <v/>
      </c>
      <c r="H92" s="18">
        <f>IFERROR(IF(INDEX(Itens!$K$2:$K$501,MATCH(80,Itens!$M$2:$M$501,0))="","",INDEX(Itens!$K$2:$K$501,MATCH(80,Itens!$M$2:$M$501,0))),"")</f>
        <v/>
      </c>
      <c r="I92" s="17">
        <f>IFERROR(IF(INDEX(Itens!$L$2:$L$501,MATCH(80,Itens!$M$2:$M$501,0))="","",INDEX(Itens!$L$2:$L$501,MATCH(80,Itens!$M$2:$M$501,0))),"")</f>
        <v/>
      </c>
    </row>
    <row r="93">
      <c r="A93" s="17">
        <f>IFERROR(IF(INDEX(Itens!$A$2:$A$501,MATCH(81,Itens!$M$2:$M$501,0))="","",INDEX(Itens!$A$2:$A$501,MATCH(81,Itens!$M$2:$M$501,0))),"")</f>
        <v/>
      </c>
      <c r="B93" s="17">
        <f>IFERROR(IF(INDEX(Itens!$C$2:$C$501,MATCH(81,Itens!$M$2:$M$501,0))="","",INDEX(Itens!$C$2:$C$501,MATCH(81,Itens!$M$2:$M$501,0))),"")</f>
        <v/>
      </c>
      <c r="C93" s="17">
        <f>IFERROR(IF(INDEX(Itens!$E$2:$E$501,MATCH(81,Itens!$M$2:$M$501,0))="","",INDEX(Itens!$E$2:$E$501,MATCH(81,Itens!$M$2:$M$501,0))),"")</f>
        <v/>
      </c>
      <c r="D93" s="17">
        <f>IFERROR(IF(INDEX(Itens!$F$2:$F$501,MATCH(81,Itens!$M$2:$M$501,0))="","",INDEX(Itens!$F$2:$F$501,MATCH(81,Itens!$M$2:$M$501,0))),"")</f>
        <v/>
      </c>
      <c r="E93" s="17">
        <f>IFERROR(IF(INDEX(Itens!$G$2:$G$501,MATCH(81,Itens!$M$2:$M$501,0))="","",INDEX(Itens!$G$2:$G$501,MATCH(81,Itens!$M$2:$M$501,0))),"")</f>
        <v/>
      </c>
      <c r="F93" s="17">
        <f>IFERROR(IF(INDEX(Itens!$I$2:$I$501,MATCH(81,Itens!$M$2:$M$501,0))="","",INDEX(Itens!$I$2:$I$501,MATCH(81,Itens!$M$2:$M$501,0))),"")</f>
        <v/>
      </c>
      <c r="G93" s="17">
        <f>IFERROR(IF(INDEX(Itens!$J$2:$J$501,MATCH(81,Itens!$M$2:$M$501,0))="","",INDEX(Itens!$J$2:$J$501,MATCH(81,Itens!$M$2:$M$501,0))),"")</f>
        <v/>
      </c>
      <c r="H93" s="18">
        <f>IFERROR(IF(INDEX(Itens!$K$2:$K$501,MATCH(81,Itens!$M$2:$M$501,0))="","",INDEX(Itens!$K$2:$K$501,MATCH(81,Itens!$M$2:$M$501,0))),"")</f>
        <v/>
      </c>
      <c r="I93" s="17">
        <f>IFERROR(IF(INDEX(Itens!$L$2:$L$501,MATCH(81,Itens!$M$2:$M$501,0))="","",INDEX(Itens!$L$2:$L$501,MATCH(81,Itens!$M$2:$M$501,0))),"")</f>
        <v/>
      </c>
    </row>
    <row r="94">
      <c r="A94" s="17">
        <f>IFERROR(IF(INDEX(Itens!$A$2:$A$501,MATCH(82,Itens!$M$2:$M$501,0))="","",INDEX(Itens!$A$2:$A$501,MATCH(82,Itens!$M$2:$M$501,0))),"")</f>
        <v/>
      </c>
      <c r="B94" s="17">
        <f>IFERROR(IF(INDEX(Itens!$C$2:$C$501,MATCH(82,Itens!$M$2:$M$501,0))="","",INDEX(Itens!$C$2:$C$501,MATCH(82,Itens!$M$2:$M$501,0))),"")</f>
        <v/>
      </c>
      <c r="C94" s="17">
        <f>IFERROR(IF(INDEX(Itens!$E$2:$E$501,MATCH(82,Itens!$M$2:$M$501,0))="","",INDEX(Itens!$E$2:$E$501,MATCH(82,Itens!$M$2:$M$501,0))),"")</f>
        <v/>
      </c>
      <c r="D94" s="17">
        <f>IFERROR(IF(INDEX(Itens!$F$2:$F$501,MATCH(82,Itens!$M$2:$M$501,0))="","",INDEX(Itens!$F$2:$F$501,MATCH(82,Itens!$M$2:$M$501,0))),"")</f>
        <v/>
      </c>
      <c r="E94" s="17">
        <f>IFERROR(IF(INDEX(Itens!$G$2:$G$501,MATCH(82,Itens!$M$2:$M$501,0))="","",INDEX(Itens!$G$2:$G$501,MATCH(82,Itens!$M$2:$M$501,0))),"")</f>
        <v/>
      </c>
      <c r="F94" s="17">
        <f>IFERROR(IF(INDEX(Itens!$I$2:$I$501,MATCH(82,Itens!$M$2:$M$501,0))="","",INDEX(Itens!$I$2:$I$501,MATCH(82,Itens!$M$2:$M$501,0))),"")</f>
        <v/>
      </c>
      <c r="G94" s="17">
        <f>IFERROR(IF(INDEX(Itens!$J$2:$J$501,MATCH(82,Itens!$M$2:$M$501,0))="","",INDEX(Itens!$J$2:$J$501,MATCH(82,Itens!$M$2:$M$501,0))),"")</f>
        <v/>
      </c>
      <c r="H94" s="18">
        <f>IFERROR(IF(INDEX(Itens!$K$2:$K$501,MATCH(82,Itens!$M$2:$M$501,0))="","",INDEX(Itens!$K$2:$K$501,MATCH(82,Itens!$M$2:$M$501,0))),"")</f>
        <v/>
      </c>
      <c r="I94" s="17">
        <f>IFERROR(IF(INDEX(Itens!$L$2:$L$501,MATCH(82,Itens!$M$2:$M$501,0))="","",INDEX(Itens!$L$2:$L$501,MATCH(82,Itens!$M$2:$M$501,0))),"")</f>
        <v/>
      </c>
    </row>
    <row r="95">
      <c r="A95" s="17">
        <f>IFERROR(IF(INDEX(Itens!$A$2:$A$501,MATCH(83,Itens!$M$2:$M$501,0))="","",INDEX(Itens!$A$2:$A$501,MATCH(83,Itens!$M$2:$M$501,0))),"")</f>
        <v/>
      </c>
      <c r="B95" s="17">
        <f>IFERROR(IF(INDEX(Itens!$C$2:$C$501,MATCH(83,Itens!$M$2:$M$501,0))="","",INDEX(Itens!$C$2:$C$501,MATCH(83,Itens!$M$2:$M$501,0))),"")</f>
        <v/>
      </c>
      <c r="C95" s="17">
        <f>IFERROR(IF(INDEX(Itens!$E$2:$E$501,MATCH(83,Itens!$M$2:$M$501,0))="","",INDEX(Itens!$E$2:$E$501,MATCH(83,Itens!$M$2:$M$501,0))),"")</f>
        <v/>
      </c>
      <c r="D95" s="17">
        <f>IFERROR(IF(INDEX(Itens!$F$2:$F$501,MATCH(83,Itens!$M$2:$M$501,0))="","",INDEX(Itens!$F$2:$F$501,MATCH(83,Itens!$M$2:$M$501,0))),"")</f>
        <v/>
      </c>
      <c r="E95" s="17">
        <f>IFERROR(IF(INDEX(Itens!$G$2:$G$501,MATCH(83,Itens!$M$2:$M$501,0))="","",INDEX(Itens!$G$2:$G$501,MATCH(83,Itens!$M$2:$M$501,0))),"")</f>
        <v/>
      </c>
      <c r="F95" s="17">
        <f>IFERROR(IF(INDEX(Itens!$I$2:$I$501,MATCH(83,Itens!$M$2:$M$501,0))="","",INDEX(Itens!$I$2:$I$501,MATCH(83,Itens!$M$2:$M$501,0))),"")</f>
        <v/>
      </c>
      <c r="G95" s="17">
        <f>IFERROR(IF(INDEX(Itens!$J$2:$J$501,MATCH(83,Itens!$M$2:$M$501,0))="","",INDEX(Itens!$J$2:$J$501,MATCH(83,Itens!$M$2:$M$501,0))),"")</f>
        <v/>
      </c>
      <c r="H95" s="18">
        <f>IFERROR(IF(INDEX(Itens!$K$2:$K$501,MATCH(83,Itens!$M$2:$M$501,0))="","",INDEX(Itens!$K$2:$K$501,MATCH(83,Itens!$M$2:$M$501,0))),"")</f>
        <v/>
      </c>
      <c r="I95" s="17">
        <f>IFERROR(IF(INDEX(Itens!$L$2:$L$501,MATCH(83,Itens!$M$2:$M$501,0))="","",INDEX(Itens!$L$2:$L$501,MATCH(83,Itens!$M$2:$M$501,0))),"")</f>
        <v/>
      </c>
    </row>
    <row r="96">
      <c r="A96" s="17">
        <f>IFERROR(IF(INDEX(Itens!$A$2:$A$501,MATCH(84,Itens!$M$2:$M$501,0))="","",INDEX(Itens!$A$2:$A$501,MATCH(84,Itens!$M$2:$M$501,0))),"")</f>
        <v/>
      </c>
      <c r="B96" s="17">
        <f>IFERROR(IF(INDEX(Itens!$C$2:$C$501,MATCH(84,Itens!$M$2:$M$501,0))="","",INDEX(Itens!$C$2:$C$501,MATCH(84,Itens!$M$2:$M$501,0))),"")</f>
        <v/>
      </c>
      <c r="C96" s="17">
        <f>IFERROR(IF(INDEX(Itens!$E$2:$E$501,MATCH(84,Itens!$M$2:$M$501,0))="","",INDEX(Itens!$E$2:$E$501,MATCH(84,Itens!$M$2:$M$501,0))),"")</f>
        <v/>
      </c>
      <c r="D96" s="17">
        <f>IFERROR(IF(INDEX(Itens!$F$2:$F$501,MATCH(84,Itens!$M$2:$M$501,0))="","",INDEX(Itens!$F$2:$F$501,MATCH(84,Itens!$M$2:$M$501,0))),"")</f>
        <v/>
      </c>
      <c r="E96" s="17">
        <f>IFERROR(IF(INDEX(Itens!$G$2:$G$501,MATCH(84,Itens!$M$2:$M$501,0))="","",INDEX(Itens!$G$2:$G$501,MATCH(84,Itens!$M$2:$M$501,0))),"")</f>
        <v/>
      </c>
      <c r="F96" s="17">
        <f>IFERROR(IF(INDEX(Itens!$I$2:$I$501,MATCH(84,Itens!$M$2:$M$501,0))="","",INDEX(Itens!$I$2:$I$501,MATCH(84,Itens!$M$2:$M$501,0))),"")</f>
        <v/>
      </c>
      <c r="G96" s="17">
        <f>IFERROR(IF(INDEX(Itens!$J$2:$J$501,MATCH(84,Itens!$M$2:$M$501,0))="","",INDEX(Itens!$J$2:$J$501,MATCH(84,Itens!$M$2:$M$501,0))),"")</f>
        <v/>
      </c>
      <c r="H96" s="18">
        <f>IFERROR(IF(INDEX(Itens!$K$2:$K$501,MATCH(84,Itens!$M$2:$M$501,0))="","",INDEX(Itens!$K$2:$K$501,MATCH(84,Itens!$M$2:$M$501,0))),"")</f>
        <v/>
      </c>
      <c r="I96" s="17">
        <f>IFERROR(IF(INDEX(Itens!$L$2:$L$501,MATCH(84,Itens!$M$2:$M$501,0))="","",INDEX(Itens!$L$2:$L$501,MATCH(84,Itens!$M$2:$M$501,0))),"")</f>
        <v/>
      </c>
    </row>
    <row r="97">
      <c r="A97" s="17">
        <f>IFERROR(IF(INDEX(Itens!$A$2:$A$501,MATCH(85,Itens!$M$2:$M$501,0))="","",INDEX(Itens!$A$2:$A$501,MATCH(85,Itens!$M$2:$M$501,0))),"")</f>
        <v/>
      </c>
      <c r="B97" s="17">
        <f>IFERROR(IF(INDEX(Itens!$C$2:$C$501,MATCH(85,Itens!$M$2:$M$501,0))="","",INDEX(Itens!$C$2:$C$501,MATCH(85,Itens!$M$2:$M$501,0))),"")</f>
        <v/>
      </c>
      <c r="C97" s="17">
        <f>IFERROR(IF(INDEX(Itens!$E$2:$E$501,MATCH(85,Itens!$M$2:$M$501,0))="","",INDEX(Itens!$E$2:$E$501,MATCH(85,Itens!$M$2:$M$501,0))),"")</f>
        <v/>
      </c>
      <c r="D97" s="17">
        <f>IFERROR(IF(INDEX(Itens!$F$2:$F$501,MATCH(85,Itens!$M$2:$M$501,0))="","",INDEX(Itens!$F$2:$F$501,MATCH(85,Itens!$M$2:$M$501,0))),"")</f>
        <v/>
      </c>
      <c r="E97" s="17">
        <f>IFERROR(IF(INDEX(Itens!$G$2:$G$501,MATCH(85,Itens!$M$2:$M$501,0))="","",INDEX(Itens!$G$2:$G$501,MATCH(85,Itens!$M$2:$M$501,0))),"")</f>
        <v/>
      </c>
      <c r="F97" s="17">
        <f>IFERROR(IF(INDEX(Itens!$I$2:$I$501,MATCH(85,Itens!$M$2:$M$501,0))="","",INDEX(Itens!$I$2:$I$501,MATCH(85,Itens!$M$2:$M$501,0))),"")</f>
        <v/>
      </c>
      <c r="G97" s="17">
        <f>IFERROR(IF(INDEX(Itens!$J$2:$J$501,MATCH(85,Itens!$M$2:$M$501,0))="","",INDEX(Itens!$J$2:$J$501,MATCH(85,Itens!$M$2:$M$501,0))),"")</f>
        <v/>
      </c>
      <c r="H97" s="18">
        <f>IFERROR(IF(INDEX(Itens!$K$2:$K$501,MATCH(85,Itens!$M$2:$M$501,0))="","",INDEX(Itens!$K$2:$K$501,MATCH(85,Itens!$M$2:$M$501,0))),"")</f>
        <v/>
      </c>
      <c r="I97" s="17">
        <f>IFERROR(IF(INDEX(Itens!$L$2:$L$501,MATCH(85,Itens!$M$2:$M$501,0))="","",INDEX(Itens!$L$2:$L$501,MATCH(85,Itens!$M$2:$M$501,0))),"")</f>
        <v/>
      </c>
    </row>
    <row r="98">
      <c r="A98" s="17">
        <f>IFERROR(IF(INDEX(Itens!$A$2:$A$501,MATCH(86,Itens!$M$2:$M$501,0))="","",INDEX(Itens!$A$2:$A$501,MATCH(86,Itens!$M$2:$M$501,0))),"")</f>
        <v/>
      </c>
      <c r="B98" s="17">
        <f>IFERROR(IF(INDEX(Itens!$C$2:$C$501,MATCH(86,Itens!$M$2:$M$501,0))="","",INDEX(Itens!$C$2:$C$501,MATCH(86,Itens!$M$2:$M$501,0))),"")</f>
        <v/>
      </c>
      <c r="C98" s="17">
        <f>IFERROR(IF(INDEX(Itens!$E$2:$E$501,MATCH(86,Itens!$M$2:$M$501,0))="","",INDEX(Itens!$E$2:$E$501,MATCH(86,Itens!$M$2:$M$501,0))),"")</f>
        <v/>
      </c>
      <c r="D98" s="17">
        <f>IFERROR(IF(INDEX(Itens!$F$2:$F$501,MATCH(86,Itens!$M$2:$M$501,0))="","",INDEX(Itens!$F$2:$F$501,MATCH(86,Itens!$M$2:$M$501,0))),"")</f>
        <v/>
      </c>
      <c r="E98" s="17">
        <f>IFERROR(IF(INDEX(Itens!$G$2:$G$501,MATCH(86,Itens!$M$2:$M$501,0))="","",INDEX(Itens!$G$2:$G$501,MATCH(86,Itens!$M$2:$M$501,0))),"")</f>
        <v/>
      </c>
      <c r="F98" s="17">
        <f>IFERROR(IF(INDEX(Itens!$I$2:$I$501,MATCH(86,Itens!$M$2:$M$501,0))="","",INDEX(Itens!$I$2:$I$501,MATCH(86,Itens!$M$2:$M$501,0))),"")</f>
        <v/>
      </c>
      <c r="G98" s="17">
        <f>IFERROR(IF(INDEX(Itens!$J$2:$J$501,MATCH(86,Itens!$M$2:$M$501,0))="","",INDEX(Itens!$J$2:$J$501,MATCH(86,Itens!$M$2:$M$501,0))),"")</f>
        <v/>
      </c>
      <c r="H98" s="18">
        <f>IFERROR(IF(INDEX(Itens!$K$2:$K$501,MATCH(86,Itens!$M$2:$M$501,0))="","",INDEX(Itens!$K$2:$K$501,MATCH(86,Itens!$M$2:$M$501,0))),"")</f>
        <v/>
      </c>
      <c r="I98" s="17">
        <f>IFERROR(IF(INDEX(Itens!$L$2:$L$501,MATCH(86,Itens!$M$2:$M$501,0))="","",INDEX(Itens!$L$2:$L$501,MATCH(86,Itens!$M$2:$M$501,0))),"")</f>
        <v/>
      </c>
    </row>
    <row r="99">
      <c r="A99" s="17">
        <f>IFERROR(IF(INDEX(Itens!$A$2:$A$501,MATCH(87,Itens!$M$2:$M$501,0))="","",INDEX(Itens!$A$2:$A$501,MATCH(87,Itens!$M$2:$M$501,0))),"")</f>
        <v/>
      </c>
      <c r="B99" s="17">
        <f>IFERROR(IF(INDEX(Itens!$C$2:$C$501,MATCH(87,Itens!$M$2:$M$501,0))="","",INDEX(Itens!$C$2:$C$501,MATCH(87,Itens!$M$2:$M$501,0))),"")</f>
        <v/>
      </c>
      <c r="C99" s="17">
        <f>IFERROR(IF(INDEX(Itens!$E$2:$E$501,MATCH(87,Itens!$M$2:$M$501,0))="","",INDEX(Itens!$E$2:$E$501,MATCH(87,Itens!$M$2:$M$501,0))),"")</f>
        <v/>
      </c>
      <c r="D99" s="17">
        <f>IFERROR(IF(INDEX(Itens!$F$2:$F$501,MATCH(87,Itens!$M$2:$M$501,0))="","",INDEX(Itens!$F$2:$F$501,MATCH(87,Itens!$M$2:$M$501,0))),"")</f>
        <v/>
      </c>
      <c r="E99" s="17">
        <f>IFERROR(IF(INDEX(Itens!$G$2:$G$501,MATCH(87,Itens!$M$2:$M$501,0))="","",INDEX(Itens!$G$2:$G$501,MATCH(87,Itens!$M$2:$M$501,0))),"")</f>
        <v/>
      </c>
      <c r="F99" s="17">
        <f>IFERROR(IF(INDEX(Itens!$I$2:$I$501,MATCH(87,Itens!$M$2:$M$501,0))="","",INDEX(Itens!$I$2:$I$501,MATCH(87,Itens!$M$2:$M$501,0))),"")</f>
        <v/>
      </c>
      <c r="G99" s="17">
        <f>IFERROR(IF(INDEX(Itens!$J$2:$J$501,MATCH(87,Itens!$M$2:$M$501,0))="","",INDEX(Itens!$J$2:$J$501,MATCH(87,Itens!$M$2:$M$501,0))),"")</f>
        <v/>
      </c>
      <c r="H99" s="18">
        <f>IFERROR(IF(INDEX(Itens!$K$2:$K$501,MATCH(87,Itens!$M$2:$M$501,0))="","",INDEX(Itens!$K$2:$K$501,MATCH(87,Itens!$M$2:$M$501,0))),"")</f>
        <v/>
      </c>
      <c r="I99" s="17">
        <f>IFERROR(IF(INDEX(Itens!$L$2:$L$501,MATCH(87,Itens!$M$2:$M$501,0))="","",INDEX(Itens!$L$2:$L$501,MATCH(87,Itens!$M$2:$M$501,0))),"")</f>
        <v/>
      </c>
    </row>
    <row r="100">
      <c r="A100" s="17">
        <f>IFERROR(IF(INDEX(Itens!$A$2:$A$501,MATCH(88,Itens!$M$2:$M$501,0))="","",INDEX(Itens!$A$2:$A$501,MATCH(88,Itens!$M$2:$M$501,0))),"")</f>
        <v/>
      </c>
      <c r="B100" s="17">
        <f>IFERROR(IF(INDEX(Itens!$C$2:$C$501,MATCH(88,Itens!$M$2:$M$501,0))="","",INDEX(Itens!$C$2:$C$501,MATCH(88,Itens!$M$2:$M$501,0))),"")</f>
        <v/>
      </c>
      <c r="C100" s="17">
        <f>IFERROR(IF(INDEX(Itens!$E$2:$E$501,MATCH(88,Itens!$M$2:$M$501,0))="","",INDEX(Itens!$E$2:$E$501,MATCH(88,Itens!$M$2:$M$501,0))),"")</f>
        <v/>
      </c>
      <c r="D100" s="17">
        <f>IFERROR(IF(INDEX(Itens!$F$2:$F$501,MATCH(88,Itens!$M$2:$M$501,0))="","",INDEX(Itens!$F$2:$F$501,MATCH(88,Itens!$M$2:$M$501,0))),"")</f>
        <v/>
      </c>
      <c r="E100" s="17">
        <f>IFERROR(IF(INDEX(Itens!$G$2:$G$501,MATCH(88,Itens!$M$2:$M$501,0))="","",INDEX(Itens!$G$2:$G$501,MATCH(88,Itens!$M$2:$M$501,0))),"")</f>
        <v/>
      </c>
      <c r="F100" s="17">
        <f>IFERROR(IF(INDEX(Itens!$I$2:$I$501,MATCH(88,Itens!$M$2:$M$501,0))="","",INDEX(Itens!$I$2:$I$501,MATCH(88,Itens!$M$2:$M$501,0))),"")</f>
        <v/>
      </c>
      <c r="G100" s="17">
        <f>IFERROR(IF(INDEX(Itens!$J$2:$J$501,MATCH(88,Itens!$M$2:$M$501,0))="","",INDEX(Itens!$J$2:$J$501,MATCH(88,Itens!$M$2:$M$501,0))),"")</f>
        <v/>
      </c>
      <c r="H100" s="18">
        <f>IFERROR(IF(INDEX(Itens!$K$2:$K$501,MATCH(88,Itens!$M$2:$M$501,0))="","",INDEX(Itens!$K$2:$K$501,MATCH(88,Itens!$M$2:$M$501,0))),"")</f>
        <v/>
      </c>
      <c r="I100" s="17">
        <f>IFERROR(IF(INDEX(Itens!$L$2:$L$501,MATCH(88,Itens!$M$2:$M$501,0))="","",INDEX(Itens!$L$2:$L$501,MATCH(88,Itens!$M$2:$M$501,0))),"")</f>
        <v/>
      </c>
    </row>
    <row r="101">
      <c r="A101" s="17">
        <f>IFERROR(IF(INDEX(Itens!$A$2:$A$501,MATCH(89,Itens!$M$2:$M$501,0))="","",INDEX(Itens!$A$2:$A$501,MATCH(89,Itens!$M$2:$M$501,0))),"")</f>
        <v/>
      </c>
      <c r="B101" s="17">
        <f>IFERROR(IF(INDEX(Itens!$C$2:$C$501,MATCH(89,Itens!$M$2:$M$501,0))="","",INDEX(Itens!$C$2:$C$501,MATCH(89,Itens!$M$2:$M$501,0))),"")</f>
        <v/>
      </c>
      <c r="C101" s="17">
        <f>IFERROR(IF(INDEX(Itens!$E$2:$E$501,MATCH(89,Itens!$M$2:$M$501,0))="","",INDEX(Itens!$E$2:$E$501,MATCH(89,Itens!$M$2:$M$501,0))),"")</f>
        <v/>
      </c>
      <c r="D101" s="17">
        <f>IFERROR(IF(INDEX(Itens!$F$2:$F$501,MATCH(89,Itens!$M$2:$M$501,0))="","",INDEX(Itens!$F$2:$F$501,MATCH(89,Itens!$M$2:$M$501,0))),"")</f>
        <v/>
      </c>
      <c r="E101" s="17">
        <f>IFERROR(IF(INDEX(Itens!$G$2:$G$501,MATCH(89,Itens!$M$2:$M$501,0))="","",INDEX(Itens!$G$2:$G$501,MATCH(89,Itens!$M$2:$M$501,0))),"")</f>
        <v/>
      </c>
      <c r="F101" s="17">
        <f>IFERROR(IF(INDEX(Itens!$I$2:$I$501,MATCH(89,Itens!$M$2:$M$501,0))="","",INDEX(Itens!$I$2:$I$501,MATCH(89,Itens!$M$2:$M$501,0))),"")</f>
        <v/>
      </c>
      <c r="G101" s="17">
        <f>IFERROR(IF(INDEX(Itens!$J$2:$J$501,MATCH(89,Itens!$M$2:$M$501,0))="","",INDEX(Itens!$J$2:$J$501,MATCH(89,Itens!$M$2:$M$501,0))),"")</f>
        <v/>
      </c>
      <c r="H101" s="18">
        <f>IFERROR(IF(INDEX(Itens!$K$2:$K$501,MATCH(89,Itens!$M$2:$M$501,0))="","",INDEX(Itens!$K$2:$K$501,MATCH(89,Itens!$M$2:$M$501,0))),"")</f>
        <v/>
      </c>
      <c r="I101" s="17">
        <f>IFERROR(IF(INDEX(Itens!$L$2:$L$501,MATCH(89,Itens!$M$2:$M$501,0))="","",INDEX(Itens!$L$2:$L$501,MATCH(89,Itens!$M$2:$M$501,0))),"")</f>
        <v/>
      </c>
    </row>
    <row r="102">
      <c r="A102" s="17">
        <f>IFERROR(IF(INDEX(Itens!$A$2:$A$501,MATCH(90,Itens!$M$2:$M$501,0))="","",INDEX(Itens!$A$2:$A$501,MATCH(90,Itens!$M$2:$M$501,0))),"")</f>
        <v/>
      </c>
      <c r="B102" s="17">
        <f>IFERROR(IF(INDEX(Itens!$C$2:$C$501,MATCH(90,Itens!$M$2:$M$501,0))="","",INDEX(Itens!$C$2:$C$501,MATCH(90,Itens!$M$2:$M$501,0))),"")</f>
        <v/>
      </c>
      <c r="C102" s="17">
        <f>IFERROR(IF(INDEX(Itens!$E$2:$E$501,MATCH(90,Itens!$M$2:$M$501,0))="","",INDEX(Itens!$E$2:$E$501,MATCH(90,Itens!$M$2:$M$501,0))),"")</f>
        <v/>
      </c>
      <c r="D102" s="17">
        <f>IFERROR(IF(INDEX(Itens!$F$2:$F$501,MATCH(90,Itens!$M$2:$M$501,0))="","",INDEX(Itens!$F$2:$F$501,MATCH(90,Itens!$M$2:$M$501,0))),"")</f>
        <v/>
      </c>
      <c r="E102" s="17">
        <f>IFERROR(IF(INDEX(Itens!$G$2:$G$501,MATCH(90,Itens!$M$2:$M$501,0))="","",INDEX(Itens!$G$2:$G$501,MATCH(90,Itens!$M$2:$M$501,0))),"")</f>
        <v/>
      </c>
      <c r="F102" s="17">
        <f>IFERROR(IF(INDEX(Itens!$I$2:$I$501,MATCH(90,Itens!$M$2:$M$501,0))="","",INDEX(Itens!$I$2:$I$501,MATCH(90,Itens!$M$2:$M$501,0))),"")</f>
        <v/>
      </c>
      <c r="G102" s="17">
        <f>IFERROR(IF(INDEX(Itens!$J$2:$J$501,MATCH(90,Itens!$M$2:$M$501,0))="","",INDEX(Itens!$J$2:$J$501,MATCH(90,Itens!$M$2:$M$501,0))),"")</f>
        <v/>
      </c>
      <c r="H102" s="18">
        <f>IFERROR(IF(INDEX(Itens!$K$2:$K$501,MATCH(90,Itens!$M$2:$M$501,0))="","",INDEX(Itens!$K$2:$K$501,MATCH(90,Itens!$M$2:$M$501,0))),"")</f>
        <v/>
      </c>
      <c r="I102" s="17">
        <f>IFERROR(IF(INDEX(Itens!$L$2:$L$501,MATCH(90,Itens!$M$2:$M$501,0))="","",INDEX(Itens!$L$2:$L$501,MATCH(90,Itens!$M$2:$M$501,0))),"")</f>
        <v/>
      </c>
    </row>
    <row r="103">
      <c r="A103" s="17">
        <f>IFERROR(IF(INDEX(Itens!$A$2:$A$501,MATCH(91,Itens!$M$2:$M$501,0))="","",INDEX(Itens!$A$2:$A$501,MATCH(91,Itens!$M$2:$M$501,0))),"")</f>
        <v/>
      </c>
      <c r="B103" s="17">
        <f>IFERROR(IF(INDEX(Itens!$C$2:$C$501,MATCH(91,Itens!$M$2:$M$501,0))="","",INDEX(Itens!$C$2:$C$501,MATCH(91,Itens!$M$2:$M$501,0))),"")</f>
        <v/>
      </c>
      <c r="C103" s="17">
        <f>IFERROR(IF(INDEX(Itens!$E$2:$E$501,MATCH(91,Itens!$M$2:$M$501,0))="","",INDEX(Itens!$E$2:$E$501,MATCH(91,Itens!$M$2:$M$501,0))),"")</f>
        <v/>
      </c>
      <c r="D103" s="17">
        <f>IFERROR(IF(INDEX(Itens!$F$2:$F$501,MATCH(91,Itens!$M$2:$M$501,0))="","",INDEX(Itens!$F$2:$F$501,MATCH(91,Itens!$M$2:$M$501,0))),"")</f>
        <v/>
      </c>
      <c r="E103" s="17">
        <f>IFERROR(IF(INDEX(Itens!$G$2:$G$501,MATCH(91,Itens!$M$2:$M$501,0))="","",INDEX(Itens!$G$2:$G$501,MATCH(91,Itens!$M$2:$M$501,0))),"")</f>
        <v/>
      </c>
      <c r="F103" s="17">
        <f>IFERROR(IF(INDEX(Itens!$I$2:$I$501,MATCH(91,Itens!$M$2:$M$501,0))="","",INDEX(Itens!$I$2:$I$501,MATCH(91,Itens!$M$2:$M$501,0))),"")</f>
        <v/>
      </c>
      <c r="G103" s="17">
        <f>IFERROR(IF(INDEX(Itens!$J$2:$J$501,MATCH(91,Itens!$M$2:$M$501,0))="","",INDEX(Itens!$J$2:$J$501,MATCH(91,Itens!$M$2:$M$501,0))),"")</f>
        <v/>
      </c>
      <c r="H103" s="18">
        <f>IFERROR(IF(INDEX(Itens!$K$2:$K$501,MATCH(91,Itens!$M$2:$M$501,0))="","",INDEX(Itens!$K$2:$K$501,MATCH(91,Itens!$M$2:$M$501,0))),"")</f>
        <v/>
      </c>
      <c r="I103" s="17">
        <f>IFERROR(IF(INDEX(Itens!$L$2:$L$501,MATCH(91,Itens!$M$2:$M$501,0))="","",INDEX(Itens!$L$2:$L$501,MATCH(91,Itens!$M$2:$M$501,0))),"")</f>
        <v/>
      </c>
    </row>
    <row r="104">
      <c r="A104" s="17">
        <f>IFERROR(IF(INDEX(Itens!$A$2:$A$501,MATCH(92,Itens!$M$2:$M$501,0))="","",INDEX(Itens!$A$2:$A$501,MATCH(92,Itens!$M$2:$M$501,0))),"")</f>
        <v/>
      </c>
      <c r="B104" s="17">
        <f>IFERROR(IF(INDEX(Itens!$C$2:$C$501,MATCH(92,Itens!$M$2:$M$501,0))="","",INDEX(Itens!$C$2:$C$501,MATCH(92,Itens!$M$2:$M$501,0))),"")</f>
        <v/>
      </c>
      <c r="C104" s="17">
        <f>IFERROR(IF(INDEX(Itens!$E$2:$E$501,MATCH(92,Itens!$M$2:$M$501,0))="","",INDEX(Itens!$E$2:$E$501,MATCH(92,Itens!$M$2:$M$501,0))),"")</f>
        <v/>
      </c>
      <c r="D104" s="17">
        <f>IFERROR(IF(INDEX(Itens!$F$2:$F$501,MATCH(92,Itens!$M$2:$M$501,0))="","",INDEX(Itens!$F$2:$F$501,MATCH(92,Itens!$M$2:$M$501,0))),"")</f>
        <v/>
      </c>
      <c r="E104" s="17">
        <f>IFERROR(IF(INDEX(Itens!$G$2:$G$501,MATCH(92,Itens!$M$2:$M$501,0))="","",INDEX(Itens!$G$2:$G$501,MATCH(92,Itens!$M$2:$M$501,0))),"")</f>
        <v/>
      </c>
      <c r="F104" s="17">
        <f>IFERROR(IF(INDEX(Itens!$I$2:$I$501,MATCH(92,Itens!$M$2:$M$501,0))="","",INDEX(Itens!$I$2:$I$501,MATCH(92,Itens!$M$2:$M$501,0))),"")</f>
        <v/>
      </c>
      <c r="G104" s="17">
        <f>IFERROR(IF(INDEX(Itens!$J$2:$J$501,MATCH(92,Itens!$M$2:$M$501,0))="","",INDEX(Itens!$J$2:$J$501,MATCH(92,Itens!$M$2:$M$501,0))),"")</f>
        <v/>
      </c>
      <c r="H104" s="18">
        <f>IFERROR(IF(INDEX(Itens!$K$2:$K$501,MATCH(92,Itens!$M$2:$M$501,0))="","",INDEX(Itens!$K$2:$K$501,MATCH(92,Itens!$M$2:$M$501,0))),"")</f>
        <v/>
      </c>
      <c r="I104" s="17">
        <f>IFERROR(IF(INDEX(Itens!$L$2:$L$501,MATCH(92,Itens!$M$2:$M$501,0))="","",INDEX(Itens!$L$2:$L$501,MATCH(92,Itens!$M$2:$M$501,0))),"")</f>
        <v/>
      </c>
    </row>
    <row r="105">
      <c r="A105" s="17">
        <f>IFERROR(IF(INDEX(Itens!$A$2:$A$501,MATCH(93,Itens!$M$2:$M$501,0))="","",INDEX(Itens!$A$2:$A$501,MATCH(93,Itens!$M$2:$M$501,0))),"")</f>
        <v/>
      </c>
      <c r="B105" s="17">
        <f>IFERROR(IF(INDEX(Itens!$C$2:$C$501,MATCH(93,Itens!$M$2:$M$501,0))="","",INDEX(Itens!$C$2:$C$501,MATCH(93,Itens!$M$2:$M$501,0))),"")</f>
        <v/>
      </c>
      <c r="C105" s="17">
        <f>IFERROR(IF(INDEX(Itens!$E$2:$E$501,MATCH(93,Itens!$M$2:$M$501,0))="","",INDEX(Itens!$E$2:$E$501,MATCH(93,Itens!$M$2:$M$501,0))),"")</f>
        <v/>
      </c>
      <c r="D105" s="17">
        <f>IFERROR(IF(INDEX(Itens!$F$2:$F$501,MATCH(93,Itens!$M$2:$M$501,0))="","",INDEX(Itens!$F$2:$F$501,MATCH(93,Itens!$M$2:$M$501,0))),"")</f>
        <v/>
      </c>
      <c r="E105" s="17">
        <f>IFERROR(IF(INDEX(Itens!$G$2:$G$501,MATCH(93,Itens!$M$2:$M$501,0))="","",INDEX(Itens!$G$2:$G$501,MATCH(93,Itens!$M$2:$M$501,0))),"")</f>
        <v/>
      </c>
      <c r="F105" s="17">
        <f>IFERROR(IF(INDEX(Itens!$I$2:$I$501,MATCH(93,Itens!$M$2:$M$501,0))="","",INDEX(Itens!$I$2:$I$501,MATCH(93,Itens!$M$2:$M$501,0))),"")</f>
        <v/>
      </c>
      <c r="G105" s="17">
        <f>IFERROR(IF(INDEX(Itens!$J$2:$J$501,MATCH(93,Itens!$M$2:$M$501,0))="","",INDEX(Itens!$J$2:$J$501,MATCH(93,Itens!$M$2:$M$501,0))),"")</f>
        <v/>
      </c>
      <c r="H105" s="18">
        <f>IFERROR(IF(INDEX(Itens!$K$2:$K$501,MATCH(93,Itens!$M$2:$M$501,0))="","",INDEX(Itens!$K$2:$K$501,MATCH(93,Itens!$M$2:$M$501,0))),"")</f>
        <v/>
      </c>
      <c r="I105" s="17">
        <f>IFERROR(IF(INDEX(Itens!$L$2:$L$501,MATCH(93,Itens!$M$2:$M$501,0))="","",INDEX(Itens!$L$2:$L$501,MATCH(93,Itens!$M$2:$M$501,0))),"")</f>
        <v/>
      </c>
    </row>
    <row r="106">
      <c r="A106" s="17">
        <f>IFERROR(IF(INDEX(Itens!$A$2:$A$501,MATCH(94,Itens!$M$2:$M$501,0))="","",INDEX(Itens!$A$2:$A$501,MATCH(94,Itens!$M$2:$M$501,0))),"")</f>
        <v/>
      </c>
      <c r="B106" s="17">
        <f>IFERROR(IF(INDEX(Itens!$C$2:$C$501,MATCH(94,Itens!$M$2:$M$501,0))="","",INDEX(Itens!$C$2:$C$501,MATCH(94,Itens!$M$2:$M$501,0))),"")</f>
        <v/>
      </c>
      <c r="C106" s="17">
        <f>IFERROR(IF(INDEX(Itens!$E$2:$E$501,MATCH(94,Itens!$M$2:$M$501,0))="","",INDEX(Itens!$E$2:$E$501,MATCH(94,Itens!$M$2:$M$501,0))),"")</f>
        <v/>
      </c>
      <c r="D106" s="17">
        <f>IFERROR(IF(INDEX(Itens!$F$2:$F$501,MATCH(94,Itens!$M$2:$M$501,0))="","",INDEX(Itens!$F$2:$F$501,MATCH(94,Itens!$M$2:$M$501,0))),"")</f>
        <v/>
      </c>
      <c r="E106" s="17">
        <f>IFERROR(IF(INDEX(Itens!$G$2:$G$501,MATCH(94,Itens!$M$2:$M$501,0))="","",INDEX(Itens!$G$2:$G$501,MATCH(94,Itens!$M$2:$M$501,0))),"")</f>
        <v/>
      </c>
      <c r="F106" s="17">
        <f>IFERROR(IF(INDEX(Itens!$I$2:$I$501,MATCH(94,Itens!$M$2:$M$501,0))="","",INDEX(Itens!$I$2:$I$501,MATCH(94,Itens!$M$2:$M$501,0))),"")</f>
        <v/>
      </c>
      <c r="G106" s="17">
        <f>IFERROR(IF(INDEX(Itens!$J$2:$J$501,MATCH(94,Itens!$M$2:$M$501,0))="","",INDEX(Itens!$J$2:$J$501,MATCH(94,Itens!$M$2:$M$501,0))),"")</f>
        <v/>
      </c>
      <c r="H106" s="18">
        <f>IFERROR(IF(INDEX(Itens!$K$2:$K$501,MATCH(94,Itens!$M$2:$M$501,0))="","",INDEX(Itens!$K$2:$K$501,MATCH(94,Itens!$M$2:$M$501,0))),"")</f>
        <v/>
      </c>
      <c r="I106" s="17">
        <f>IFERROR(IF(INDEX(Itens!$L$2:$L$501,MATCH(94,Itens!$M$2:$M$501,0))="","",INDEX(Itens!$L$2:$L$501,MATCH(94,Itens!$M$2:$M$501,0))),"")</f>
        <v/>
      </c>
    </row>
    <row r="107">
      <c r="A107" s="17">
        <f>IFERROR(IF(INDEX(Itens!$A$2:$A$501,MATCH(95,Itens!$M$2:$M$501,0))="","",INDEX(Itens!$A$2:$A$501,MATCH(95,Itens!$M$2:$M$501,0))),"")</f>
        <v/>
      </c>
      <c r="B107" s="17">
        <f>IFERROR(IF(INDEX(Itens!$C$2:$C$501,MATCH(95,Itens!$M$2:$M$501,0))="","",INDEX(Itens!$C$2:$C$501,MATCH(95,Itens!$M$2:$M$501,0))),"")</f>
        <v/>
      </c>
      <c r="C107" s="17">
        <f>IFERROR(IF(INDEX(Itens!$E$2:$E$501,MATCH(95,Itens!$M$2:$M$501,0))="","",INDEX(Itens!$E$2:$E$501,MATCH(95,Itens!$M$2:$M$501,0))),"")</f>
        <v/>
      </c>
      <c r="D107" s="17">
        <f>IFERROR(IF(INDEX(Itens!$F$2:$F$501,MATCH(95,Itens!$M$2:$M$501,0))="","",INDEX(Itens!$F$2:$F$501,MATCH(95,Itens!$M$2:$M$501,0))),"")</f>
        <v/>
      </c>
      <c r="E107" s="17">
        <f>IFERROR(IF(INDEX(Itens!$G$2:$G$501,MATCH(95,Itens!$M$2:$M$501,0))="","",INDEX(Itens!$G$2:$G$501,MATCH(95,Itens!$M$2:$M$501,0))),"")</f>
        <v/>
      </c>
      <c r="F107" s="17">
        <f>IFERROR(IF(INDEX(Itens!$I$2:$I$501,MATCH(95,Itens!$M$2:$M$501,0))="","",INDEX(Itens!$I$2:$I$501,MATCH(95,Itens!$M$2:$M$501,0))),"")</f>
        <v/>
      </c>
      <c r="G107" s="17">
        <f>IFERROR(IF(INDEX(Itens!$J$2:$J$501,MATCH(95,Itens!$M$2:$M$501,0))="","",INDEX(Itens!$J$2:$J$501,MATCH(95,Itens!$M$2:$M$501,0))),"")</f>
        <v/>
      </c>
      <c r="H107" s="18">
        <f>IFERROR(IF(INDEX(Itens!$K$2:$K$501,MATCH(95,Itens!$M$2:$M$501,0))="","",INDEX(Itens!$K$2:$K$501,MATCH(95,Itens!$M$2:$M$501,0))),"")</f>
        <v/>
      </c>
      <c r="I107" s="17">
        <f>IFERROR(IF(INDEX(Itens!$L$2:$L$501,MATCH(95,Itens!$M$2:$M$501,0))="","",INDEX(Itens!$L$2:$L$501,MATCH(95,Itens!$M$2:$M$501,0))),"")</f>
        <v/>
      </c>
    </row>
    <row r="108">
      <c r="A108" s="17">
        <f>IFERROR(IF(INDEX(Itens!$A$2:$A$501,MATCH(96,Itens!$M$2:$M$501,0))="","",INDEX(Itens!$A$2:$A$501,MATCH(96,Itens!$M$2:$M$501,0))),"")</f>
        <v/>
      </c>
      <c r="B108" s="17">
        <f>IFERROR(IF(INDEX(Itens!$C$2:$C$501,MATCH(96,Itens!$M$2:$M$501,0))="","",INDEX(Itens!$C$2:$C$501,MATCH(96,Itens!$M$2:$M$501,0))),"")</f>
        <v/>
      </c>
      <c r="C108" s="17">
        <f>IFERROR(IF(INDEX(Itens!$E$2:$E$501,MATCH(96,Itens!$M$2:$M$501,0))="","",INDEX(Itens!$E$2:$E$501,MATCH(96,Itens!$M$2:$M$501,0))),"")</f>
        <v/>
      </c>
      <c r="D108" s="17">
        <f>IFERROR(IF(INDEX(Itens!$F$2:$F$501,MATCH(96,Itens!$M$2:$M$501,0))="","",INDEX(Itens!$F$2:$F$501,MATCH(96,Itens!$M$2:$M$501,0))),"")</f>
        <v/>
      </c>
      <c r="E108" s="17">
        <f>IFERROR(IF(INDEX(Itens!$G$2:$G$501,MATCH(96,Itens!$M$2:$M$501,0))="","",INDEX(Itens!$G$2:$G$501,MATCH(96,Itens!$M$2:$M$501,0))),"")</f>
        <v/>
      </c>
      <c r="F108" s="17">
        <f>IFERROR(IF(INDEX(Itens!$I$2:$I$501,MATCH(96,Itens!$M$2:$M$501,0))="","",INDEX(Itens!$I$2:$I$501,MATCH(96,Itens!$M$2:$M$501,0))),"")</f>
        <v/>
      </c>
      <c r="G108" s="17">
        <f>IFERROR(IF(INDEX(Itens!$J$2:$J$501,MATCH(96,Itens!$M$2:$M$501,0))="","",INDEX(Itens!$J$2:$J$501,MATCH(96,Itens!$M$2:$M$501,0))),"")</f>
        <v/>
      </c>
      <c r="H108" s="18">
        <f>IFERROR(IF(INDEX(Itens!$K$2:$K$501,MATCH(96,Itens!$M$2:$M$501,0))="","",INDEX(Itens!$K$2:$K$501,MATCH(96,Itens!$M$2:$M$501,0))),"")</f>
        <v/>
      </c>
      <c r="I108" s="17">
        <f>IFERROR(IF(INDEX(Itens!$L$2:$L$501,MATCH(96,Itens!$M$2:$M$501,0))="","",INDEX(Itens!$L$2:$L$501,MATCH(96,Itens!$M$2:$M$501,0))),"")</f>
        <v/>
      </c>
    </row>
    <row r="109">
      <c r="A109" s="17">
        <f>IFERROR(IF(INDEX(Itens!$A$2:$A$501,MATCH(97,Itens!$M$2:$M$501,0))="","",INDEX(Itens!$A$2:$A$501,MATCH(97,Itens!$M$2:$M$501,0))),"")</f>
        <v/>
      </c>
      <c r="B109" s="17">
        <f>IFERROR(IF(INDEX(Itens!$C$2:$C$501,MATCH(97,Itens!$M$2:$M$501,0))="","",INDEX(Itens!$C$2:$C$501,MATCH(97,Itens!$M$2:$M$501,0))),"")</f>
        <v/>
      </c>
      <c r="C109" s="17">
        <f>IFERROR(IF(INDEX(Itens!$E$2:$E$501,MATCH(97,Itens!$M$2:$M$501,0))="","",INDEX(Itens!$E$2:$E$501,MATCH(97,Itens!$M$2:$M$501,0))),"")</f>
        <v/>
      </c>
      <c r="D109" s="17">
        <f>IFERROR(IF(INDEX(Itens!$F$2:$F$501,MATCH(97,Itens!$M$2:$M$501,0))="","",INDEX(Itens!$F$2:$F$501,MATCH(97,Itens!$M$2:$M$501,0))),"")</f>
        <v/>
      </c>
      <c r="E109" s="17">
        <f>IFERROR(IF(INDEX(Itens!$G$2:$G$501,MATCH(97,Itens!$M$2:$M$501,0))="","",INDEX(Itens!$G$2:$G$501,MATCH(97,Itens!$M$2:$M$501,0))),"")</f>
        <v/>
      </c>
      <c r="F109" s="17">
        <f>IFERROR(IF(INDEX(Itens!$I$2:$I$501,MATCH(97,Itens!$M$2:$M$501,0))="","",INDEX(Itens!$I$2:$I$501,MATCH(97,Itens!$M$2:$M$501,0))),"")</f>
        <v/>
      </c>
      <c r="G109" s="17">
        <f>IFERROR(IF(INDEX(Itens!$J$2:$J$501,MATCH(97,Itens!$M$2:$M$501,0))="","",INDEX(Itens!$J$2:$J$501,MATCH(97,Itens!$M$2:$M$501,0))),"")</f>
        <v/>
      </c>
      <c r="H109" s="18">
        <f>IFERROR(IF(INDEX(Itens!$K$2:$K$501,MATCH(97,Itens!$M$2:$M$501,0))="","",INDEX(Itens!$K$2:$K$501,MATCH(97,Itens!$M$2:$M$501,0))),"")</f>
        <v/>
      </c>
      <c r="I109" s="17">
        <f>IFERROR(IF(INDEX(Itens!$L$2:$L$501,MATCH(97,Itens!$M$2:$M$501,0))="","",INDEX(Itens!$L$2:$L$501,MATCH(97,Itens!$M$2:$M$501,0))),"")</f>
        <v/>
      </c>
    </row>
    <row r="110">
      <c r="A110" s="17">
        <f>IFERROR(IF(INDEX(Itens!$A$2:$A$501,MATCH(98,Itens!$M$2:$M$501,0))="","",INDEX(Itens!$A$2:$A$501,MATCH(98,Itens!$M$2:$M$501,0))),"")</f>
        <v/>
      </c>
      <c r="B110" s="17">
        <f>IFERROR(IF(INDEX(Itens!$C$2:$C$501,MATCH(98,Itens!$M$2:$M$501,0))="","",INDEX(Itens!$C$2:$C$501,MATCH(98,Itens!$M$2:$M$501,0))),"")</f>
        <v/>
      </c>
      <c r="C110" s="17">
        <f>IFERROR(IF(INDEX(Itens!$E$2:$E$501,MATCH(98,Itens!$M$2:$M$501,0))="","",INDEX(Itens!$E$2:$E$501,MATCH(98,Itens!$M$2:$M$501,0))),"")</f>
        <v/>
      </c>
      <c r="D110" s="17">
        <f>IFERROR(IF(INDEX(Itens!$F$2:$F$501,MATCH(98,Itens!$M$2:$M$501,0))="","",INDEX(Itens!$F$2:$F$501,MATCH(98,Itens!$M$2:$M$501,0))),"")</f>
        <v/>
      </c>
      <c r="E110" s="17">
        <f>IFERROR(IF(INDEX(Itens!$G$2:$G$501,MATCH(98,Itens!$M$2:$M$501,0))="","",INDEX(Itens!$G$2:$G$501,MATCH(98,Itens!$M$2:$M$501,0))),"")</f>
        <v/>
      </c>
      <c r="F110" s="17">
        <f>IFERROR(IF(INDEX(Itens!$I$2:$I$501,MATCH(98,Itens!$M$2:$M$501,0))="","",INDEX(Itens!$I$2:$I$501,MATCH(98,Itens!$M$2:$M$501,0))),"")</f>
        <v/>
      </c>
      <c r="G110" s="17">
        <f>IFERROR(IF(INDEX(Itens!$J$2:$J$501,MATCH(98,Itens!$M$2:$M$501,0))="","",INDEX(Itens!$J$2:$J$501,MATCH(98,Itens!$M$2:$M$501,0))),"")</f>
        <v/>
      </c>
      <c r="H110" s="18">
        <f>IFERROR(IF(INDEX(Itens!$K$2:$K$501,MATCH(98,Itens!$M$2:$M$501,0))="","",INDEX(Itens!$K$2:$K$501,MATCH(98,Itens!$M$2:$M$501,0))),"")</f>
        <v/>
      </c>
      <c r="I110" s="17">
        <f>IFERROR(IF(INDEX(Itens!$L$2:$L$501,MATCH(98,Itens!$M$2:$M$501,0))="","",INDEX(Itens!$L$2:$L$501,MATCH(98,Itens!$M$2:$M$501,0))),"")</f>
        <v/>
      </c>
    </row>
    <row r="111">
      <c r="A111" s="17">
        <f>IFERROR(IF(INDEX(Itens!$A$2:$A$501,MATCH(99,Itens!$M$2:$M$501,0))="","",INDEX(Itens!$A$2:$A$501,MATCH(99,Itens!$M$2:$M$501,0))),"")</f>
        <v/>
      </c>
      <c r="B111" s="17">
        <f>IFERROR(IF(INDEX(Itens!$C$2:$C$501,MATCH(99,Itens!$M$2:$M$501,0))="","",INDEX(Itens!$C$2:$C$501,MATCH(99,Itens!$M$2:$M$501,0))),"")</f>
        <v/>
      </c>
      <c r="C111" s="17">
        <f>IFERROR(IF(INDEX(Itens!$E$2:$E$501,MATCH(99,Itens!$M$2:$M$501,0))="","",INDEX(Itens!$E$2:$E$501,MATCH(99,Itens!$M$2:$M$501,0))),"")</f>
        <v/>
      </c>
      <c r="D111" s="17">
        <f>IFERROR(IF(INDEX(Itens!$F$2:$F$501,MATCH(99,Itens!$M$2:$M$501,0))="","",INDEX(Itens!$F$2:$F$501,MATCH(99,Itens!$M$2:$M$501,0))),"")</f>
        <v/>
      </c>
      <c r="E111" s="17">
        <f>IFERROR(IF(INDEX(Itens!$G$2:$G$501,MATCH(99,Itens!$M$2:$M$501,0))="","",INDEX(Itens!$G$2:$G$501,MATCH(99,Itens!$M$2:$M$501,0))),"")</f>
        <v/>
      </c>
      <c r="F111" s="17">
        <f>IFERROR(IF(INDEX(Itens!$I$2:$I$501,MATCH(99,Itens!$M$2:$M$501,0))="","",INDEX(Itens!$I$2:$I$501,MATCH(99,Itens!$M$2:$M$501,0))),"")</f>
        <v/>
      </c>
      <c r="G111" s="17">
        <f>IFERROR(IF(INDEX(Itens!$J$2:$J$501,MATCH(99,Itens!$M$2:$M$501,0))="","",INDEX(Itens!$J$2:$J$501,MATCH(99,Itens!$M$2:$M$501,0))),"")</f>
        <v/>
      </c>
      <c r="H111" s="18">
        <f>IFERROR(IF(INDEX(Itens!$K$2:$K$501,MATCH(99,Itens!$M$2:$M$501,0))="","",INDEX(Itens!$K$2:$K$501,MATCH(99,Itens!$M$2:$M$501,0))),"")</f>
        <v/>
      </c>
      <c r="I111" s="17">
        <f>IFERROR(IF(INDEX(Itens!$L$2:$L$501,MATCH(99,Itens!$M$2:$M$501,0))="","",INDEX(Itens!$L$2:$L$501,MATCH(99,Itens!$M$2:$M$501,0))),"")</f>
        <v/>
      </c>
    </row>
    <row r="112">
      <c r="A112" s="17">
        <f>IFERROR(IF(INDEX(Itens!$A$2:$A$501,MATCH(100,Itens!$M$2:$M$501,0))="","",INDEX(Itens!$A$2:$A$501,MATCH(100,Itens!$M$2:$M$501,0))),"")</f>
        <v/>
      </c>
      <c r="B112" s="17">
        <f>IFERROR(IF(INDEX(Itens!$C$2:$C$501,MATCH(100,Itens!$M$2:$M$501,0))="","",INDEX(Itens!$C$2:$C$501,MATCH(100,Itens!$M$2:$M$501,0))),"")</f>
        <v/>
      </c>
      <c r="C112" s="17">
        <f>IFERROR(IF(INDEX(Itens!$E$2:$E$501,MATCH(100,Itens!$M$2:$M$501,0))="","",INDEX(Itens!$E$2:$E$501,MATCH(100,Itens!$M$2:$M$501,0))),"")</f>
        <v/>
      </c>
      <c r="D112" s="17">
        <f>IFERROR(IF(INDEX(Itens!$F$2:$F$501,MATCH(100,Itens!$M$2:$M$501,0))="","",INDEX(Itens!$F$2:$F$501,MATCH(100,Itens!$M$2:$M$501,0))),"")</f>
        <v/>
      </c>
      <c r="E112" s="17">
        <f>IFERROR(IF(INDEX(Itens!$G$2:$G$501,MATCH(100,Itens!$M$2:$M$501,0))="","",INDEX(Itens!$G$2:$G$501,MATCH(100,Itens!$M$2:$M$501,0))),"")</f>
        <v/>
      </c>
      <c r="F112" s="17">
        <f>IFERROR(IF(INDEX(Itens!$I$2:$I$501,MATCH(100,Itens!$M$2:$M$501,0))="","",INDEX(Itens!$I$2:$I$501,MATCH(100,Itens!$M$2:$M$501,0))),"")</f>
        <v/>
      </c>
      <c r="G112" s="17">
        <f>IFERROR(IF(INDEX(Itens!$J$2:$J$501,MATCH(100,Itens!$M$2:$M$501,0))="","",INDEX(Itens!$J$2:$J$501,MATCH(100,Itens!$M$2:$M$501,0))),"")</f>
        <v/>
      </c>
      <c r="H112" s="18">
        <f>IFERROR(IF(INDEX(Itens!$K$2:$K$501,MATCH(100,Itens!$M$2:$M$501,0))="","",INDEX(Itens!$K$2:$K$501,MATCH(100,Itens!$M$2:$M$501,0))),"")</f>
        <v/>
      </c>
      <c r="I112" s="17">
        <f>IFERROR(IF(INDEX(Itens!$L$2:$L$501,MATCH(100,Itens!$M$2:$M$501,0))="","",INDEX(Itens!$L$2:$L$501,MATCH(100,Itens!$M$2:$M$501,0))),"")</f>
        <v/>
      </c>
    </row>
    <row r="113">
      <c r="A113" s="17">
        <f>IFERROR(IF(INDEX(Itens!$A$2:$A$501,MATCH(101,Itens!$M$2:$M$501,0))="","",INDEX(Itens!$A$2:$A$501,MATCH(101,Itens!$M$2:$M$501,0))),"")</f>
        <v/>
      </c>
      <c r="B113" s="17">
        <f>IFERROR(IF(INDEX(Itens!$C$2:$C$501,MATCH(101,Itens!$M$2:$M$501,0))="","",INDEX(Itens!$C$2:$C$501,MATCH(101,Itens!$M$2:$M$501,0))),"")</f>
        <v/>
      </c>
      <c r="C113" s="17">
        <f>IFERROR(IF(INDEX(Itens!$E$2:$E$501,MATCH(101,Itens!$M$2:$M$501,0))="","",INDEX(Itens!$E$2:$E$501,MATCH(101,Itens!$M$2:$M$501,0))),"")</f>
        <v/>
      </c>
      <c r="D113" s="17">
        <f>IFERROR(IF(INDEX(Itens!$F$2:$F$501,MATCH(101,Itens!$M$2:$M$501,0))="","",INDEX(Itens!$F$2:$F$501,MATCH(101,Itens!$M$2:$M$501,0))),"")</f>
        <v/>
      </c>
      <c r="E113" s="17">
        <f>IFERROR(IF(INDEX(Itens!$G$2:$G$501,MATCH(101,Itens!$M$2:$M$501,0))="","",INDEX(Itens!$G$2:$G$501,MATCH(101,Itens!$M$2:$M$501,0))),"")</f>
        <v/>
      </c>
      <c r="F113" s="17">
        <f>IFERROR(IF(INDEX(Itens!$I$2:$I$501,MATCH(101,Itens!$M$2:$M$501,0))="","",INDEX(Itens!$I$2:$I$501,MATCH(101,Itens!$M$2:$M$501,0))),"")</f>
        <v/>
      </c>
      <c r="G113" s="17">
        <f>IFERROR(IF(INDEX(Itens!$J$2:$J$501,MATCH(101,Itens!$M$2:$M$501,0))="","",INDEX(Itens!$J$2:$J$501,MATCH(101,Itens!$M$2:$M$501,0))),"")</f>
        <v/>
      </c>
      <c r="H113" s="18">
        <f>IFERROR(IF(INDEX(Itens!$K$2:$K$501,MATCH(101,Itens!$M$2:$M$501,0))="","",INDEX(Itens!$K$2:$K$501,MATCH(101,Itens!$M$2:$M$501,0))),"")</f>
        <v/>
      </c>
      <c r="I113" s="17">
        <f>IFERROR(IF(INDEX(Itens!$L$2:$L$501,MATCH(101,Itens!$M$2:$M$501,0))="","",INDEX(Itens!$L$2:$L$501,MATCH(101,Itens!$M$2:$M$501,0))),"")</f>
        <v/>
      </c>
    </row>
    <row r="114">
      <c r="A114" s="17">
        <f>IFERROR(IF(INDEX(Itens!$A$2:$A$501,MATCH(102,Itens!$M$2:$M$501,0))="","",INDEX(Itens!$A$2:$A$501,MATCH(102,Itens!$M$2:$M$501,0))),"")</f>
        <v/>
      </c>
      <c r="B114" s="17">
        <f>IFERROR(IF(INDEX(Itens!$C$2:$C$501,MATCH(102,Itens!$M$2:$M$501,0))="","",INDEX(Itens!$C$2:$C$501,MATCH(102,Itens!$M$2:$M$501,0))),"")</f>
        <v/>
      </c>
      <c r="C114" s="17">
        <f>IFERROR(IF(INDEX(Itens!$E$2:$E$501,MATCH(102,Itens!$M$2:$M$501,0))="","",INDEX(Itens!$E$2:$E$501,MATCH(102,Itens!$M$2:$M$501,0))),"")</f>
        <v/>
      </c>
      <c r="D114" s="17">
        <f>IFERROR(IF(INDEX(Itens!$F$2:$F$501,MATCH(102,Itens!$M$2:$M$501,0))="","",INDEX(Itens!$F$2:$F$501,MATCH(102,Itens!$M$2:$M$501,0))),"")</f>
        <v/>
      </c>
      <c r="E114" s="17">
        <f>IFERROR(IF(INDEX(Itens!$G$2:$G$501,MATCH(102,Itens!$M$2:$M$501,0))="","",INDEX(Itens!$G$2:$G$501,MATCH(102,Itens!$M$2:$M$501,0))),"")</f>
        <v/>
      </c>
      <c r="F114" s="17">
        <f>IFERROR(IF(INDEX(Itens!$I$2:$I$501,MATCH(102,Itens!$M$2:$M$501,0))="","",INDEX(Itens!$I$2:$I$501,MATCH(102,Itens!$M$2:$M$501,0))),"")</f>
        <v/>
      </c>
      <c r="G114" s="17">
        <f>IFERROR(IF(INDEX(Itens!$J$2:$J$501,MATCH(102,Itens!$M$2:$M$501,0))="","",INDEX(Itens!$J$2:$J$501,MATCH(102,Itens!$M$2:$M$501,0))),"")</f>
        <v/>
      </c>
      <c r="H114" s="18">
        <f>IFERROR(IF(INDEX(Itens!$K$2:$K$501,MATCH(102,Itens!$M$2:$M$501,0))="","",INDEX(Itens!$K$2:$K$501,MATCH(102,Itens!$M$2:$M$501,0))),"")</f>
        <v/>
      </c>
      <c r="I114" s="17">
        <f>IFERROR(IF(INDEX(Itens!$L$2:$L$501,MATCH(102,Itens!$M$2:$M$501,0))="","",INDEX(Itens!$L$2:$L$501,MATCH(102,Itens!$M$2:$M$501,0))),"")</f>
        <v/>
      </c>
    </row>
    <row r="115">
      <c r="A115" s="17">
        <f>IFERROR(IF(INDEX(Itens!$A$2:$A$501,MATCH(103,Itens!$M$2:$M$501,0))="","",INDEX(Itens!$A$2:$A$501,MATCH(103,Itens!$M$2:$M$501,0))),"")</f>
        <v/>
      </c>
      <c r="B115" s="17">
        <f>IFERROR(IF(INDEX(Itens!$C$2:$C$501,MATCH(103,Itens!$M$2:$M$501,0))="","",INDEX(Itens!$C$2:$C$501,MATCH(103,Itens!$M$2:$M$501,0))),"")</f>
        <v/>
      </c>
      <c r="C115" s="17">
        <f>IFERROR(IF(INDEX(Itens!$E$2:$E$501,MATCH(103,Itens!$M$2:$M$501,0))="","",INDEX(Itens!$E$2:$E$501,MATCH(103,Itens!$M$2:$M$501,0))),"")</f>
        <v/>
      </c>
      <c r="D115" s="17">
        <f>IFERROR(IF(INDEX(Itens!$F$2:$F$501,MATCH(103,Itens!$M$2:$M$501,0))="","",INDEX(Itens!$F$2:$F$501,MATCH(103,Itens!$M$2:$M$501,0))),"")</f>
        <v/>
      </c>
      <c r="E115" s="17">
        <f>IFERROR(IF(INDEX(Itens!$G$2:$G$501,MATCH(103,Itens!$M$2:$M$501,0))="","",INDEX(Itens!$G$2:$G$501,MATCH(103,Itens!$M$2:$M$501,0))),"")</f>
        <v/>
      </c>
      <c r="F115" s="17">
        <f>IFERROR(IF(INDEX(Itens!$I$2:$I$501,MATCH(103,Itens!$M$2:$M$501,0))="","",INDEX(Itens!$I$2:$I$501,MATCH(103,Itens!$M$2:$M$501,0))),"")</f>
        <v/>
      </c>
      <c r="G115" s="17">
        <f>IFERROR(IF(INDEX(Itens!$J$2:$J$501,MATCH(103,Itens!$M$2:$M$501,0))="","",INDEX(Itens!$J$2:$J$501,MATCH(103,Itens!$M$2:$M$501,0))),"")</f>
        <v/>
      </c>
      <c r="H115" s="18">
        <f>IFERROR(IF(INDEX(Itens!$K$2:$K$501,MATCH(103,Itens!$M$2:$M$501,0))="","",INDEX(Itens!$K$2:$K$501,MATCH(103,Itens!$M$2:$M$501,0))),"")</f>
        <v/>
      </c>
      <c r="I115" s="17">
        <f>IFERROR(IF(INDEX(Itens!$L$2:$L$501,MATCH(103,Itens!$M$2:$M$501,0))="","",INDEX(Itens!$L$2:$L$501,MATCH(103,Itens!$M$2:$M$501,0))),"")</f>
        <v/>
      </c>
    </row>
    <row r="116">
      <c r="A116" s="17">
        <f>IFERROR(IF(INDEX(Itens!$A$2:$A$501,MATCH(104,Itens!$M$2:$M$501,0))="","",INDEX(Itens!$A$2:$A$501,MATCH(104,Itens!$M$2:$M$501,0))),"")</f>
        <v/>
      </c>
      <c r="B116" s="17">
        <f>IFERROR(IF(INDEX(Itens!$C$2:$C$501,MATCH(104,Itens!$M$2:$M$501,0))="","",INDEX(Itens!$C$2:$C$501,MATCH(104,Itens!$M$2:$M$501,0))),"")</f>
        <v/>
      </c>
      <c r="C116" s="17">
        <f>IFERROR(IF(INDEX(Itens!$E$2:$E$501,MATCH(104,Itens!$M$2:$M$501,0))="","",INDEX(Itens!$E$2:$E$501,MATCH(104,Itens!$M$2:$M$501,0))),"")</f>
        <v/>
      </c>
      <c r="D116" s="17">
        <f>IFERROR(IF(INDEX(Itens!$F$2:$F$501,MATCH(104,Itens!$M$2:$M$501,0))="","",INDEX(Itens!$F$2:$F$501,MATCH(104,Itens!$M$2:$M$501,0))),"")</f>
        <v/>
      </c>
      <c r="E116" s="17">
        <f>IFERROR(IF(INDEX(Itens!$G$2:$G$501,MATCH(104,Itens!$M$2:$M$501,0))="","",INDEX(Itens!$G$2:$G$501,MATCH(104,Itens!$M$2:$M$501,0))),"")</f>
        <v/>
      </c>
      <c r="F116" s="17">
        <f>IFERROR(IF(INDEX(Itens!$I$2:$I$501,MATCH(104,Itens!$M$2:$M$501,0))="","",INDEX(Itens!$I$2:$I$501,MATCH(104,Itens!$M$2:$M$501,0))),"")</f>
        <v/>
      </c>
      <c r="G116" s="17">
        <f>IFERROR(IF(INDEX(Itens!$J$2:$J$501,MATCH(104,Itens!$M$2:$M$501,0))="","",INDEX(Itens!$J$2:$J$501,MATCH(104,Itens!$M$2:$M$501,0))),"")</f>
        <v/>
      </c>
      <c r="H116" s="18">
        <f>IFERROR(IF(INDEX(Itens!$K$2:$K$501,MATCH(104,Itens!$M$2:$M$501,0))="","",INDEX(Itens!$K$2:$K$501,MATCH(104,Itens!$M$2:$M$501,0))),"")</f>
        <v/>
      </c>
      <c r="I116" s="17">
        <f>IFERROR(IF(INDEX(Itens!$L$2:$L$501,MATCH(104,Itens!$M$2:$M$501,0))="","",INDEX(Itens!$L$2:$L$501,MATCH(104,Itens!$M$2:$M$501,0))),"")</f>
        <v/>
      </c>
    </row>
    <row r="117">
      <c r="A117" s="17">
        <f>IFERROR(IF(INDEX(Itens!$A$2:$A$501,MATCH(105,Itens!$M$2:$M$501,0))="","",INDEX(Itens!$A$2:$A$501,MATCH(105,Itens!$M$2:$M$501,0))),"")</f>
        <v/>
      </c>
      <c r="B117" s="17">
        <f>IFERROR(IF(INDEX(Itens!$C$2:$C$501,MATCH(105,Itens!$M$2:$M$501,0))="","",INDEX(Itens!$C$2:$C$501,MATCH(105,Itens!$M$2:$M$501,0))),"")</f>
        <v/>
      </c>
      <c r="C117" s="17">
        <f>IFERROR(IF(INDEX(Itens!$E$2:$E$501,MATCH(105,Itens!$M$2:$M$501,0))="","",INDEX(Itens!$E$2:$E$501,MATCH(105,Itens!$M$2:$M$501,0))),"")</f>
        <v/>
      </c>
      <c r="D117" s="17">
        <f>IFERROR(IF(INDEX(Itens!$F$2:$F$501,MATCH(105,Itens!$M$2:$M$501,0))="","",INDEX(Itens!$F$2:$F$501,MATCH(105,Itens!$M$2:$M$501,0))),"")</f>
        <v/>
      </c>
      <c r="E117" s="17">
        <f>IFERROR(IF(INDEX(Itens!$G$2:$G$501,MATCH(105,Itens!$M$2:$M$501,0))="","",INDEX(Itens!$G$2:$G$501,MATCH(105,Itens!$M$2:$M$501,0))),"")</f>
        <v/>
      </c>
      <c r="F117" s="17">
        <f>IFERROR(IF(INDEX(Itens!$I$2:$I$501,MATCH(105,Itens!$M$2:$M$501,0))="","",INDEX(Itens!$I$2:$I$501,MATCH(105,Itens!$M$2:$M$501,0))),"")</f>
        <v/>
      </c>
      <c r="G117" s="17">
        <f>IFERROR(IF(INDEX(Itens!$J$2:$J$501,MATCH(105,Itens!$M$2:$M$501,0))="","",INDEX(Itens!$J$2:$J$501,MATCH(105,Itens!$M$2:$M$501,0))),"")</f>
        <v/>
      </c>
      <c r="H117" s="18">
        <f>IFERROR(IF(INDEX(Itens!$K$2:$K$501,MATCH(105,Itens!$M$2:$M$501,0))="","",INDEX(Itens!$K$2:$K$501,MATCH(105,Itens!$M$2:$M$501,0))),"")</f>
        <v/>
      </c>
      <c r="I117" s="17">
        <f>IFERROR(IF(INDEX(Itens!$L$2:$L$501,MATCH(105,Itens!$M$2:$M$501,0))="","",INDEX(Itens!$L$2:$L$501,MATCH(105,Itens!$M$2:$M$501,0))),"")</f>
        <v/>
      </c>
    </row>
    <row r="118">
      <c r="A118" s="17">
        <f>IFERROR(IF(INDEX(Itens!$A$2:$A$501,MATCH(106,Itens!$M$2:$M$501,0))="","",INDEX(Itens!$A$2:$A$501,MATCH(106,Itens!$M$2:$M$501,0))),"")</f>
        <v/>
      </c>
      <c r="B118" s="17">
        <f>IFERROR(IF(INDEX(Itens!$C$2:$C$501,MATCH(106,Itens!$M$2:$M$501,0))="","",INDEX(Itens!$C$2:$C$501,MATCH(106,Itens!$M$2:$M$501,0))),"")</f>
        <v/>
      </c>
      <c r="C118" s="17">
        <f>IFERROR(IF(INDEX(Itens!$E$2:$E$501,MATCH(106,Itens!$M$2:$M$501,0))="","",INDEX(Itens!$E$2:$E$501,MATCH(106,Itens!$M$2:$M$501,0))),"")</f>
        <v/>
      </c>
      <c r="D118" s="17">
        <f>IFERROR(IF(INDEX(Itens!$F$2:$F$501,MATCH(106,Itens!$M$2:$M$501,0))="","",INDEX(Itens!$F$2:$F$501,MATCH(106,Itens!$M$2:$M$501,0))),"")</f>
        <v/>
      </c>
      <c r="E118" s="17">
        <f>IFERROR(IF(INDEX(Itens!$G$2:$G$501,MATCH(106,Itens!$M$2:$M$501,0))="","",INDEX(Itens!$G$2:$G$501,MATCH(106,Itens!$M$2:$M$501,0))),"")</f>
        <v/>
      </c>
      <c r="F118" s="17">
        <f>IFERROR(IF(INDEX(Itens!$I$2:$I$501,MATCH(106,Itens!$M$2:$M$501,0))="","",INDEX(Itens!$I$2:$I$501,MATCH(106,Itens!$M$2:$M$501,0))),"")</f>
        <v/>
      </c>
      <c r="G118" s="17">
        <f>IFERROR(IF(INDEX(Itens!$J$2:$J$501,MATCH(106,Itens!$M$2:$M$501,0))="","",INDEX(Itens!$J$2:$J$501,MATCH(106,Itens!$M$2:$M$501,0))),"")</f>
        <v/>
      </c>
      <c r="H118" s="18">
        <f>IFERROR(IF(INDEX(Itens!$K$2:$K$501,MATCH(106,Itens!$M$2:$M$501,0))="","",INDEX(Itens!$K$2:$K$501,MATCH(106,Itens!$M$2:$M$501,0))),"")</f>
        <v/>
      </c>
      <c r="I118" s="17">
        <f>IFERROR(IF(INDEX(Itens!$L$2:$L$501,MATCH(106,Itens!$M$2:$M$501,0))="","",INDEX(Itens!$L$2:$L$501,MATCH(106,Itens!$M$2:$M$501,0))),"")</f>
        <v/>
      </c>
    </row>
    <row r="119">
      <c r="A119" s="17">
        <f>IFERROR(IF(INDEX(Itens!$A$2:$A$501,MATCH(107,Itens!$M$2:$M$501,0))="","",INDEX(Itens!$A$2:$A$501,MATCH(107,Itens!$M$2:$M$501,0))),"")</f>
        <v/>
      </c>
      <c r="B119" s="17">
        <f>IFERROR(IF(INDEX(Itens!$C$2:$C$501,MATCH(107,Itens!$M$2:$M$501,0))="","",INDEX(Itens!$C$2:$C$501,MATCH(107,Itens!$M$2:$M$501,0))),"")</f>
        <v/>
      </c>
      <c r="C119" s="17">
        <f>IFERROR(IF(INDEX(Itens!$E$2:$E$501,MATCH(107,Itens!$M$2:$M$501,0))="","",INDEX(Itens!$E$2:$E$501,MATCH(107,Itens!$M$2:$M$501,0))),"")</f>
        <v/>
      </c>
      <c r="D119" s="17">
        <f>IFERROR(IF(INDEX(Itens!$F$2:$F$501,MATCH(107,Itens!$M$2:$M$501,0))="","",INDEX(Itens!$F$2:$F$501,MATCH(107,Itens!$M$2:$M$501,0))),"")</f>
        <v/>
      </c>
      <c r="E119" s="17">
        <f>IFERROR(IF(INDEX(Itens!$G$2:$G$501,MATCH(107,Itens!$M$2:$M$501,0))="","",INDEX(Itens!$G$2:$G$501,MATCH(107,Itens!$M$2:$M$501,0))),"")</f>
        <v/>
      </c>
      <c r="F119" s="17">
        <f>IFERROR(IF(INDEX(Itens!$I$2:$I$501,MATCH(107,Itens!$M$2:$M$501,0))="","",INDEX(Itens!$I$2:$I$501,MATCH(107,Itens!$M$2:$M$501,0))),"")</f>
        <v/>
      </c>
      <c r="G119" s="17">
        <f>IFERROR(IF(INDEX(Itens!$J$2:$J$501,MATCH(107,Itens!$M$2:$M$501,0))="","",INDEX(Itens!$J$2:$J$501,MATCH(107,Itens!$M$2:$M$501,0))),"")</f>
        <v/>
      </c>
      <c r="H119" s="18">
        <f>IFERROR(IF(INDEX(Itens!$K$2:$K$501,MATCH(107,Itens!$M$2:$M$501,0))="","",INDEX(Itens!$K$2:$K$501,MATCH(107,Itens!$M$2:$M$501,0))),"")</f>
        <v/>
      </c>
      <c r="I119" s="17">
        <f>IFERROR(IF(INDEX(Itens!$L$2:$L$501,MATCH(107,Itens!$M$2:$M$501,0))="","",INDEX(Itens!$L$2:$L$501,MATCH(107,Itens!$M$2:$M$501,0))),"")</f>
        <v/>
      </c>
    </row>
    <row r="120">
      <c r="A120" s="17">
        <f>IFERROR(IF(INDEX(Itens!$A$2:$A$501,MATCH(108,Itens!$M$2:$M$501,0))="","",INDEX(Itens!$A$2:$A$501,MATCH(108,Itens!$M$2:$M$501,0))),"")</f>
        <v/>
      </c>
      <c r="B120" s="17">
        <f>IFERROR(IF(INDEX(Itens!$C$2:$C$501,MATCH(108,Itens!$M$2:$M$501,0))="","",INDEX(Itens!$C$2:$C$501,MATCH(108,Itens!$M$2:$M$501,0))),"")</f>
        <v/>
      </c>
      <c r="C120" s="17">
        <f>IFERROR(IF(INDEX(Itens!$E$2:$E$501,MATCH(108,Itens!$M$2:$M$501,0))="","",INDEX(Itens!$E$2:$E$501,MATCH(108,Itens!$M$2:$M$501,0))),"")</f>
        <v/>
      </c>
      <c r="D120" s="17">
        <f>IFERROR(IF(INDEX(Itens!$F$2:$F$501,MATCH(108,Itens!$M$2:$M$501,0))="","",INDEX(Itens!$F$2:$F$501,MATCH(108,Itens!$M$2:$M$501,0))),"")</f>
        <v/>
      </c>
      <c r="E120" s="17">
        <f>IFERROR(IF(INDEX(Itens!$G$2:$G$501,MATCH(108,Itens!$M$2:$M$501,0))="","",INDEX(Itens!$G$2:$G$501,MATCH(108,Itens!$M$2:$M$501,0))),"")</f>
        <v/>
      </c>
      <c r="F120" s="17">
        <f>IFERROR(IF(INDEX(Itens!$I$2:$I$501,MATCH(108,Itens!$M$2:$M$501,0))="","",INDEX(Itens!$I$2:$I$501,MATCH(108,Itens!$M$2:$M$501,0))),"")</f>
        <v/>
      </c>
      <c r="G120" s="17">
        <f>IFERROR(IF(INDEX(Itens!$J$2:$J$501,MATCH(108,Itens!$M$2:$M$501,0))="","",INDEX(Itens!$J$2:$J$501,MATCH(108,Itens!$M$2:$M$501,0))),"")</f>
        <v/>
      </c>
      <c r="H120" s="18">
        <f>IFERROR(IF(INDEX(Itens!$K$2:$K$501,MATCH(108,Itens!$M$2:$M$501,0))="","",INDEX(Itens!$K$2:$K$501,MATCH(108,Itens!$M$2:$M$501,0))),"")</f>
        <v/>
      </c>
      <c r="I120" s="17">
        <f>IFERROR(IF(INDEX(Itens!$L$2:$L$501,MATCH(108,Itens!$M$2:$M$501,0))="","",INDEX(Itens!$L$2:$L$501,MATCH(108,Itens!$M$2:$M$501,0))),"")</f>
        <v/>
      </c>
    </row>
    <row r="121">
      <c r="A121" s="17">
        <f>IFERROR(IF(INDEX(Itens!$A$2:$A$501,MATCH(109,Itens!$M$2:$M$501,0))="","",INDEX(Itens!$A$2:$A$501,MATCH(109,Itens!$M$2:$M$501,0))),"")</f>
        <v/>
      </c>
      <c r="B121" s="17">
        <f>IFERROR(IF(INDEX(Itens!$C$2:$C$501,MATCH(109,Itens!$M$2:$M$501,0))="","",INDEX(Itens!$C$2:$C$501,MATCH(109,Itens!$M$2:$M$501,0))),"")</f>
        <v/>
      </c>
      <c r="C121" s="17">
        <f>IFERROR(IF(INDEX(Itens!$E$2:$E$501,MATCH(109,Itens!$M$2:$M$501,0))="","",INDEX(Itens!$E$2:$E$501,MATCH(109,Itens!$M$2:$M$501,0))),"")</f>
        <v/>
      </c>
      <c r="D121" s="17">
        <f>IFERROR(IF(INDEX(Itens!$F$2:$F$501,MATCH(109,Itens!$M$2:$M$501,0))="","",INDEX(Itens!$F$2:$F$501,MATCH(109,Itens!$M$2:$M$501,0))),"")</f>
        <v/>
      </c>
      <c r="E121" s="17">
        <f>IFERROR(IF(INDEX(Itens!$G$2:$G$501,MATCH(109,Itens!$M$2:$M$501,0))="","",INDEX(Itens!$G$2:$G$501,MATCH(109,Itens!$M$2:$M$501,0))),"")</f>
        <v/>
      </c>
      <c r="F121" s="17">
        <f>IFERROR(IF(INDEX(Itens!$I$2:$I$501,MATCH(109,Itens!$M$2:$M$501,0))="","",INDEX(Itens!$I$2:$I$501,MATCH(109,Itens!$M$2:$M$501,0))),"")</f>
        <v/>
      </c>
      <c r="G121" s="17">
        <f>IFERROR(IF(INDEX(Itens!$J$2:$J$501,MATCH(109,Itens!$M$2:$M$501,0))="","",INDEX(Itens!$J$2:$J$501,MATCH(109,Itens!$M$2:$M$501,0))),"")</f>
        <v/>
      </c>
      <c r="H121" s="18">
        <f>IFERROR(IF(INDEX(Itens!$K$2:$K$501,MATCH(109,Itens!$M$2:$M$501,0))="","",INDEX(Itens!$K$2:$K$501,MATCH(109,Itens!$M$2:$M$501,0))),"")</f>
        <v/>
      </c>
      <c r="I121" s="17">
        <f>IFERROR(IF(INDEX(Itens!$L$2:$L$501,MATCH(109,Itens!$M$2:$M$501,0))="","",INDEX(Itens!$L$2:$L$501,MATCH(109,Itens!$M$2:$M$501,0))),"")</f>
        <v/>
      </c>
    </row>
    <row r="122">
      <c r="A122" s="17">
        <f>IFERROR(IF(INDEX(Itens!$A$2:$A$501,MATCH(110,Itens!$M$2:$M$501,0))="","",INDEX(Itens!$A$2:$A$501,MATCH(110,Itens!$M$2:$M$501,0))),"")</f>
        <v/>
      </c>
      <c r="B122" s="17">
        <f>IFERROR(IF(INDEX(Itens!$C$2:$C$501,MATCH(110,Itens!$M$2:$M$501,0))="","",INDEX(Itens!$C$2:$C$501,MATCH(110,Itens!$M$2:$M$501,0))),"")</f>
        <v/>
      </c>
      <c r="C122" s="17">
        <f>IFERROR(IF(INDEX(Itens!$E$2:$E$501,MATCH(110,Itens!$M$2:$M$501,0))="","",INDEX(Itens!$E$2:$E$501,MATCH(110,Itens!$M$2:$M$501,0))),"")</f>
        <v/>
      </c>
      <c r="D122" s="17">
        <f>IFERROR(IF(INDEX(Itens!$F$2:$F$501,MATCH(110,Itens!$M$2:$M$501,0))="","",INDEX(Itens!$F$2:$F$501,MATCH(110,Itens!$M$2:$M$501,0))),"")</f>
        <v/>
      </c>
      <c r="E122" s="17">
        <f>IFERROR(IF(INDEX(Itens!$G$2:$G$501,MATCH(110,Itens!$M$2:$M$501,0))="","",INDEX(Itens!$G$2:$G$501,MATCH(110,Itens!$M$2:$M$501,0))),"")</f>
        <v/>
      </c>
      <c r="F122" s="17">
        <f>IFERROR(IF(INDEX(Itens!$I$2:$I$501,MATCH(110,Itens!$M$2:$M$501,0))="","",INDEX(Itens!$I$2:$I$501,MATCH(110,Itens!$M$2:$M$501,0))),"")</f>
        <v/>
      </c>
      <c r="G122" s="17">
        <f>IFERROR(IF(INDEX(Itens!$J$2:$J$501,MATCH(110,Itens!$M$2:$M$501,0))="","",INDEX(Itens!$J$2:$J$501,MATCH(110,Itens!$M$2:$M$501,0))),"")</f>
        <v/>
      </c>
      <c r="H122" s="18">
        <f>IFERROR(IF(INDEX(Itens!$K$2:$K$501,MATCH(110,Itens!$M$2:$M$501,0))="","",INDEX(Itens!$K$2:$K$501,MATCH(110,Itens!$M$2:$M$501,0))),"")</f>
        <v/>
      </c>
      <c r="I122" s="17">
        <f>IFERROR(IF(INDEX(Itens!$L$2:$L$501,MATCH(110,Itens!$M$2:$M$501,0))="","",INDEX(Itens!$L$2:$L$501,MATCH(110,Itens!$M$2:$M$501,0))),"")</f>
        <v/>
      </c>
    </row>
    <row r="123">
      <c r="A123" s="17">
        <f>IFERROR(IF(INDEX(Itens!$A$2:$A$501,MATCH(111,Itens!$M$2:$M$501,0))="","",INDEX(Itens!$A$2:$A$501,MATCH(111,Itens!$M$2:$M$501,0))),"")</f>
        <v/>
      </c>
      <c r="B123" s="17">
        <f>IFERROR(IF(INDEX(Itens!$C$2:$C$501,MATCH(111,Itens!$M$2:$M$501,0))="","",INDEX(Itens!$C$2:$C$501,MATCH(111,Itens!$M$2:$M$501,0))),"")</f>
        <v/>
      </c>
      <c r="C123" s="17">
        <f>IFERROR(IF(INDEX(Itens!$E$2:$E$501,MATCH(111,Itens!$M$2:$M$501,0))="","",INDEX(Itens!$E$2:$E$501,MATCH(111,Itens!$M$2:$M$501,0))),"")</f>
        <v/>
      </c>
      <c r="D123" s="17">
        <f>IFERROR(IF(INDEX(Itens!$F$2:$F$501,MATCH(111,Itens!$M$2:$M$501,0))="","",INDEX(Itens!$F$2:$F$501,MATCH(111,Itens!$M$2:$M$501,0))),"")</f>
        <v/>
      </c>
      <c r="E123" s="17">
        <f>IFERROR(IF(INDEX(Itens!$G$2:$G$501,MATCH(111,Itens!$M$2:$M$501,0))="","",INDEX(Itens!$G$2:$G$501,MATCH(111,Itens!$M$2:$M$501,0))),"")</f>
        <v/>
      </c>
      <c r="F123" s="17">
        <f>IFERROR(IF(INDEX(Itens!$I$2:$I$501,MATCH(111,Itens!$M$2:$M$501,0))="","",INDEX(Itens!$I$2:$I$501,MATCH(111,Itens!$M$2:$M$501,0))),"")</f>
        <v/>
      </c>
      <c r="G123" s="17">
        <f>IFERROR(IF(INDEX(Itens!$J$2:$J$501,MATCH(111,Itens!$M$2:$M$501,0))="","",INDEX(Itens!$J$2:$J$501,MATCH(111,Itens!$M$2:$M$501,0))),"")</f>
        <v/>
      </c>
      <c r="H123" s="18">
        <f>IFERROR(IF(INDEX(Itens!$K$2:$K$501,MATCH(111,Itens!$M$2:$M$501,0))="","",INDEX(Itens!$K$2:$K$501,MATCH(111,Itens!$M$2:$M$501,0))),"")</f>
        <v/>
      </c>
      <c r="I123" s="17">
        <f>IFERROR(IF(INDEX(Itens!$L$2:$L$501,MATCH(111,Itens!$M$2:$M$501,0))="","",INDEX(Itens!$L$2:$L$501,MATCH(111,Itens!$M$2:$M$501,0))),"")</f>
        <v/>
      </c>
    </row>
    <row r="124">
      <c r="A124" s="17">
        <f>IFERROR(IF(INDEX(Itens!$A$2:$A$501,MATCH(112,Itens!$M$2:$M$501,0))="","",INDEX(Itens!$A$2:$A$501,MATCH(112,Itens!$M$2:$M$501,0))),"")</f>
        <v/>
      </c>
      <c r="B124" s="17">
        <f>IFERROR(IF(INDEX(Itens!$C$2:$C$501,MATCH(112,Itens!$M$2:$M$501,0))="","",INDEX(Itens!$C$2:$C$501,MATCH(112,Itens!$M$2:$M$501,0))),"")</f>
        <v/>
      </c>
      <c r="C124" s="17">
        <f>IFERROR(IF(INDEX(Itens!$E$2:$E$501,MATCH(112,Itens!$M$2:$M$501,0))="","",INDEX(Itens!$E$2:$E$501,MATCH(112,Itens!$M$2:$M$501,0))),"")</f>
        <v/>
      </c>
      <c r="D124" s="17">
        <f>IFERROR(IF(INDEX(Itens!$F$2:$F$501,MATCH(112,Itens!$M$2:$M$501,0))="","",INDEX(Itens!$F$2:$F$501,MATCH(112,Itens!$M$2:$M$501,0))),"")</f>
        <v/>
      </c>
      <c r="E124" s="17">
        <f>IFERROR(IF(INDEX(Itens!$G$2:$G$501,MATCH(112,Itens!$M$2:$M$501,0))="","",INDEX(Itens!$G$2:$G$501,MATCH(112,Itens!$M$2:$M$501,0))),"")</f>
        <v/>
      </c>
      <c r="F124" s="17">
        <f>IFERROR(IF(INDEX(Itens!$I$2:$I$501,MATCH(112,Itens!$M$2:$M$501,0))="","",INDEX(Itens!$I$2:$I$501,MATCH(112,Itens!$M$2:$M$501,0))),"")</f>
        <v/>
      </c>
      <c r="G124" s="17">
        <f>IFERROR(IF(INDEX(Itens!$J$2:$J$501,MATCH(112,Itens!$M$2:$M$501,0))="","",INDEX(Itens!$J$2:$J$501,MATCH(112,Itens!$M$2:$M$501,0))),"")</f>
        <v/>
      </c>
      <c r="H124" s="18">
        <f>IFERROR(IF(INDEX(Itens!$K$2:$K$501,MATCH(112,Itens!$M$2:$M$501,0))="","",INDEX(Itens!$K$2:$K$501,MATCH(112,Itens!$M$2:$M$501,0))),"")</f>
        <v/>
      </c>
      <c r="I124" s="17">
        <f>IFERROR(IF(INDEX(Itens!$L$2:$L$501,MATCH(112,Itens!$M$2:$M$501,0))="","",INDEX(Itens!$L$2:$L$501,MATCH(112,Itens!$M$2:$M$501,0))),"")</f>
        <v/>
      </c>
    </row>
    <row r="125">
      <c r="A125" s="17">
        <f>IFERROR(IF(INDEX(Itens!$A$2:$A$501,MATCH(113,Itens!$M$2:$M$501,0))="","",INDEX(Itens!$A$2:$A$501,MATCH(113,Itens!$M$2:$M$501,0))),"")</f>
        <v/>
      </c>
      <c r="B125" s="17">
        <f>IFERROR(IF(INDEX(Itens!$C$2:$C$501,MATCH(113,Itens!$M$2:$M$501,0))="","",INDEX(Itens!$C$2:$C$501,MATCH(113,Itens!$M$2:$M$501,0))),"")</f>
        <v/>
      </c>
      <c r="C125" s="17">
        <f>IFERROR(IF(INDEX(Itens!$E$2:$E$501,MATCH(113,Itens!$M$2:$M$501,0))="","",INDEX(Itens!$E$2:$E$501,MATCH(113,Itens!$M$2:$M$501,0))),"")</f>
        <v/>
      </c>
      <c r="D125" s="17">
        <f>IFERROR(IF(INDEX(Itens!$F$2:$F$501,MATCH(113,Itens!$M$2:$M$501,0))="","",INDEX(Itens!$F$2:$F$501,MATCH(113,Itens!$M$2:$M$501,0))),"")</f>
        <v/>
      </c>
      <c r="E125" s="17">
        <f>IFERROR(IF(INDEX(Itens!$G$2:$G$501,MATCH(113,Itens!$M$2:$M$501,0))="","",INDEX(Itens!$G$2:$G$501,MATCH(113,Itens!$M$2:$M$501,0))),"")</f>
        <v/>
      </c>
      <c r="F125" s="17">
        <f>IFERROR(IF(INDEX(Itens!$I$2:$I$501,MATCH(113,Itens!$M$2:$M$501,0))="","",INDEX(Itens!$I$2:$I$501,MATCH(113,Itens!$M$2:$M$501,0))),"")</f>
        <v/>
      </c>
      <c r="G125" s="17">
        <f>IFERROR(IF(INDEX(Itens!$J$2:$J$501,MATCH(113,Itens!$M$2:$M$501,0))="","",INDEX(Itens!$J$2:$J$501,MATCH(113,Itens!$M$2:$M$501,0))),"")</f>
        <v/>
      </c>
      <c r="H125" s="18">
        <f>IFERROR(IF(INDEX(Itens!$K$2:$K$501,MATCH(113,Itens!$M$2:$M$501,0))="","",INDEX(Itens!$K$2:$K$501,MATCH(113,Itens!$M$2:$M$501,0))),"")</f>
        <v/>
      </c>
      <c r="I125" s="17">
        <f>IFERROR(IF(INDEX(Itens!$L$2:$L$501,MATCH(113,Itens!$M$2:$M$501,0))="","",INDEX(Itens!$L$2:$L$501,MATCH(113,Itens!$M$2:$M$501,0))),"")</f>
        <v/>
      </c>
    </row>
    <row r="126">
      <c r="A126" s="17">
        <f>IFERROR(IF(INDEX(Itens!$A$2:$A$501,MATCH(114,Itens!$M$2:$M$501,0))="","",INDEX(Itens!$A$2:$A$501,MATCH(114,Itens!$M$2:$M$501,0))),"")</f>
        <v/>
      </c>
      <c r="B126" s="17">
        <f>IFERROR(IF(INDEX(Itens!$C$2:$C$501,MATCH(114,Itens!$M$2:$M$501,0))="","",INDEX(Itens!$C$2:$C$501,MATCH(114,Itens!$M$2:$M$501,0))),"")</f>
        <v/>
      </c>
      <c r="C126" s="17">
        <f>IFERROR(IF(INDEX(Itens!$E$2:$E$501,MATCH(114,Itens!$M$2:$M$501,0))="","",INDEX(Itens!$E$2:$E$501,MATCH(114,Itens!$M$2:$M$501,0))),"")</f>
        <v/>
      </c>
      <c r="D126" s="17">
        <f>IFERROR(IF(INDEX(Itens!$F$2:$F$501,MATCH(114,Itens!$M$2:$M$501,0))="","",INDEX(Itens!$F$2:$F$501,MATCH(114,Itens!$M$2:$M$501,0))),"")</f>
        <v/>
      </c>
      <c r="E126" s="17">
        <f>IFERROR(IF(INDEX(Itens!$G$2:$G$501,MATCH(114,Itens!$M$2:$M$501,0))="","",INDEX(Itens!$G$2:$G$501,MATCH(114,Itens!$M$2:$M$501,0))),"")</f>
        <v/>
      </c>
      <c r="F126" s="17">
        <f>IFERROR(IF(INDEX(Itens!$I$2:$I$501,MATCH(114,Itens!$M$2:$M$501,0))="","",INDEX(Itens!$I$2:$I$501,MATCH(114,Itens!$M$2:$M$501,0))),"")</f>
        <v/>
      </c>
      <c r="G126" s="17">
        <f>IFERROR(IF(INDEX(Itens!$J$2:$J$501,MATCH(114,Itens!$M$2:$M$501,0))="","",INDEX(Itens!$J$2:$J$501,MATCH(114,Itens!$M$2:$M$501,0))),"")</f>
        <v/>
      </c>
      <c r="H126" s="18">
        <f>IFERROR(IF(INDEX(Itens!$K$2:$K$501,MATCH(114,Itens!$M$2:$M$501,0))="","",INDEX(Itens!$K$2:$K$501,MATCH(114,Itens!$M$2:$M$501,0))),"")</f>
        <v/>
      </c>
      <c r="I126" s="17">
        <f>IFERROR(IF(INDEX(Itens!$L$2:$L$501,MATCH(114,Itens!$M$2:$M$501,0))="","",INDEX(Itens!$L$2:$L$501,MATCH(114,Itens!$M$2:$M$501,0))),"")</f>
        <v/>
      </c>
    </row>
    <row r="127">
      <c r="A127" s="17">
        <f>IFERROR(IF(INDEX(Itens!$A$2:$A$501,MATCH(115,Itens!$M$2:$M$501,0))="","",INDEX(Itens!$A$2:$A$501,MATCH(115,Itens!$M$2:$M$501,0))),"")</f>
        <v/>
      </c>
      <c r="B127" s="17">
        <f>IFERROR(IF(INDEX(Itens!$C$2:$C$501,MATCH(115,Itens!$M$2:$M$501,0))="","",INDEX(Itens!$C$2:$C$501,MATCH(115,Itens!$M$2:$M$501,0))),"")</f>
        <v/>
      </c>
      <c r="C127" s="17">
        <f>IFERROR(IF(INDEX(Itens!$E$2:$E$501,MATCH(115,Itens!$M$2:$M$501,0))="","",INDEX(Itens!$E$2:$E$501,MATCH(115,Itens!$M$2:$M$501,0))),"")</f>
        <v/>
      </c>
      <c r="D127" s="17">
        <f>IFERROR(IF(INDEX(Itens!$F$2:$F$501,MATCH(115,Itens!$M$2:$M$501,0))="","",INDEX(Itens!$F$2:$F$501,MATCH(115,Itens!$M$2:$M$501,0))),"")</f>
        <v/>
      </c>
      <c r="E127" s="17">
        <f>IFERROR(IF(INDEX(Itens!$G$2:$G$501,MATCH(115,Itens!$M$2:$M$501,0))="","",INDEX(Itens!$G$2:$G$501,MATCH(115,Itens!$M$2:$M$501,0))),"")</f>
        <v/>
      </c>
      <c r="F127" s="17">
        <f>IFERROR(IF(INDEX(Itens!$I$2:$I$501,MATCH(115,Itens!$M$2:$M$501,0))="","",INDEX(Itens!$I$2:$I$501,MATCH(115,Itens!$M$2:$M$501,0))),"")</f>
        <v/>
      </c>
      <c r="G127" s="17">
        <f>IFERROR(IF(INDEX(Itens!$J$2:$J$501,MATCH(115,Itens!$M$2:$M$501,0))="","",INDEX(Itens!$J$2:$J$501,MATCH(115,Itens!$M$2:$M$501,0))),"")</f>
        <v/>
      </c>
      <c r="H127" s="18">
        <f>IFERROR(IF(INDEX(Itens!$K$2:$K$501,MATCH(115,Itens!$M$2:$M$501,0))="","",INDEX(Itens!$K$2:$K$501,MATCH(115,Itens!$M$2:$M$501,0))),"")</f>
        <v/>
      </c>
      <c r="I127" s="17">
        <f>IFERROR(IF(INDEX(Itens!$L$2:$L$501,MATCH(115,Itens!$M$2:$M$501,0))="","",INDEX(Itens!$L$2:$L$501,MATCH(115,Itens!$M$2:$M$501,0))),"")</f>
        <v/>
      </c>
    </row>
    <row r="128">
      <c r="A128" s="17">
        <f>IFERROR(IF(INDEX(Itens!$A$2:$A$501,MATCH(116,Itens!$M$2:$M$501,0))="","",INDEX(Itens!$A$2:$A$501,MATCH(116,Itens!$M$2:$M$501,0))),"")</f>
        <v/>
      </c>
      <c r="B128" s="17">
        <f>IFERROR(IF(INDEX(Itens!$C$2:$C$501,MATCH(116,Itens!$M$2:$M$501,0))="","",INDEX(Itens!$C$2:$C$501,MATCH(116,Itens!$M$2:$M$501,0))),"")</f>
        <v/>
      </c>
      <c r="C128" s="17">
        <f>IFERROR(IF(INDEX(Itens!$E$2:$E$501,MATCH(116,Itens!$M$2:$M$501,0))="","",INDEX(Itens!$E$2:$E$501,MATCH(116,Itens!$M$2:$M$501,0))),"")</f>
        <v/>
      </c>
      <c r="D128" s="17">
        <f>IFERROR(IF(INDEX(Itens!$F$2:$F$501,MATCH(116,Itens!$M$2:$M$501,0))="","",INDEX(Itens!$F$2:$F$501,MATCH(116,Itens!$M$2:$M$501,0))),"")</f>
        <v/>
      </c>
      <c r="E128" s="17">
        <f>IFERROR(IF(INDEX(Itens!$G$2:$G$501,MATCH(116,Itens!$M$2:$M$501,0))="","",INDEX(Itens!$G$2:$G$501,MATCH(116,Itens!$M$2:$M$501,0))),"")</f>
        <v/>
      </c>
      <c r="F128" s="17">
        <f>IFERROR(IF(INDEX(Itens!$I$2:$I$501,MATCH(116,Itens!$M$2:$M$501,0))="","",INDEX(Itens!$I$2:$I$501,MATCH(116,Itens!$M$2:$M$501,0))),"")</f>
        <v/>
      </c>
      <c r="G128" s="17">
        <f>IFERROR(IF(INDEX(Itens!$J$2:$J$501,MATCH(116,Itens!$M$2:$M$501,0))="","",INDEX(Itens!$J$2:$J$501,MATCH(116,Itens!$M$2:$M$501,0))),"")</f>
        <v/>
      </c>
      <c r="H128" s="18">
        <f>IFERROR(IF(INDEX(Itens!$K$2:$K$501,MATCH(116,Itens!$M$2:$M$501,0))="","",INDEX(Itens!$K$2:$K$501,MATCH(116,Itens!$M$2:$M$501,0))),"")</f>
        <v/>
      </c>
      <c r="I128" s="17">
        <f>IFERROR(IF(INDEX(Itens!$L$2:$L$501,MATCH(116,Itens!$M$2:$M$501,0))="","",INDEX(Itens!$L$2:$L$501,MATCH(116,Itens!$M$2:$M$501,0))),"")</f>
        <v/>
      </c>
    </row>
    <row r="129">
      <c r="A129" s="17">
        <f>IFERROR(IF(INDEX(Itens!$A$2:$A$501,MATCH(117,Itens!$M$2:$M$501,0))="","",INDEX(Itens!$A$2:$A$501,MATCH(117,Itens!$M$2:$M$501,0))),"")</f>
        <v/>
      </c>
      <c r="B129" s="17">
        <f>IFERROR(IF(INDEX(Itens!$C$2:$C$501,MATCH(117,Itens!$M$2:$M$501,0))="","",INDEX(Itens!$C$2:$C$501,MATCH(117,Itens!$M$2:$M$501,0))),"")</f>
        <v/>
      </c>
      <c r="C129" s="17">
        <f>IFERROR(IF(INDEX(Itens!$E$2:$E$501,MATCH(117,Itens!$M$2:$M$501,0))="","",INDEX(Itens!$E$2:$E$501,MATCH(117,Itens!$M$2:$M$501,0))),"")</f>
        <v/>
      </c>
      <c r="D129" s="17">
        <f>IFERROR(IF(INDEX(Itens!$F$2:$F$501,MATCH(117,Itens!$M$2:$M$501,0))="","",INDEX(Itens!$F$2:$F$501,MATCH(117,Itens!$M$2:$M$501,0))),"")</f>
        <v/>
      </c>
      <c r="E129" s="17">
        <f>IFERROR(IF(INDEX(Itens!$G$2:$G$501,MATCH(117,Itens!$M$2:$M$501,0))="","",INDEX(Itens!$G$2:$G$501,MATCH(117,Itens!$M$2:$M$501,0))),"")</f>
        <v/>
      </c>
      <c r="F129" s="17">
        <f>IFERROR(IF(INDEX(Itens!$I$2:$I$501,MATCH(117,Itens!$M$2:$M$501,0))="","",INDEX(Itens!$I$2:$I$501,MATCH(117,Itens!$M$2:$M$501,0))),"")</f>
        <v/>
      </c>
      <c r="G129" s="17">
        <f>IFERROR(IF(INDEX(Itens!$J$2:$J$501,MATCH(117,Itens!$M$2:$M$501,0))="","",INDEX(Itens!$J$2:$J$501,MATCH(117,Itens!$M$2:$M$501,0))),"")</f>
        <v/>
      </c>
      <c r="H129" s="18">
        <f>IFERROR(IF(INDEX(Itens!$K$2:$K$501,MATCH(117,Itens!$M$2:$M$501,0))="","",INDEX(Itens!$K$2:$K$501,MATCH(117,Itens!$M$2:$M$501,0))),"")</f>
        <v/>
      </c>
      <c r="I129" s="17">
        <f>IFERROR(IF(INDEX(Itens!$L$2:$L$501,MATCH(117,Itens!$M$2:$M$501,0))="","",INDEX(Itens!$L$2:$L$501,MATCH(117,Itens!$M$2:$M$501,0))),"")</f>
        <v/>
      </c>
    </row>
    <row r="130">
      <c r="A130" s="17">
        <f>IFERROR(IF(INDEX(Itens!$A$2:$A$501,MATCH(118,Itens!$M$2:$M$501,0))="","",INDEX(Itens!$A$2:$A$501,MATCH(118,Itens!$M$2:$M$501,0))),"")</f>
        <v/>
      </c>
      <c r="B130" s="17">
        <f>IFERROR(IF(INDEX(Itens!$C$2:$C$501,MATCH(118,Itens!$M$2:$M$501,0))="","",INDEX(Itens!$C$2:$C$501,MATCH(118,Itens!$M$2:$M$501,0))),"")</f>
        <v/>
      </c>
      <c r="C130" s="17">
        <f>IFERROR(IF(INDEX(Itens!$E$2:$E$501,MATCH(118,Itens!$M$2:$M$501,0))="","",INDEX(Itens!$E$2:$E$501,MATCH(118,Itens!$M$2:$M$501,0))),"")</f>
        <v/>
      </c>
      <c r="D130" s="17">
        <f>IFERROR(IF(INDEX(Itens!$F$2:$F$501,MATCH(118,Itens!$M$2:$M$501,0))="","",INDEX(Itens!$F$2:$F$501,MATCH(118,Itens!$M$2:$M$501,0))),"")</f>
        <v/>
      </c>
      <c r="E130" s="17">
        <f>IFERROR(IF(INDEX(Itens!$G$2:$G$501,MATCH(118,Itens!$M$2:$M$501,0))="","",INDEX(Itens!$G$2:$G$501,MATCH(118,Itens!$M$2:$M$501,0))),"")</f>
        <v/>
      </c>
      <c r="F130" s="17">
        <f>IFERROR(IF(INDEX(Itens!$I$2:$I$501,MATCH(118,Itens!$M$2:$M$501,0))="","",INDEX(Itens!$I$2:$I$501,MATCH(118,Itens!$M$2:$M$501,0))),"")</f>
        <v/>
      </c>
      <c r="G130" s="17">
        <f>IFERROR(IF(INDEX(Itens!$J$2:$J$501,MATCH(118,Itens!$M$2:$M$501,0))="","",INDEX(Itens!$J$2:$J$501,MATCH(118,Itens!$M$2:$M$501,0))),"")</f>
        <v/>
      </c>
      <c r="H130" s="18">
        <f>IFERROR(IF(INDEX(Itens!$K$2:$K$501,MATCH(118,Itens!$M$2:$M$501,0))="","",INDEX(Itens!$K$2:$K$501,MATCH(118,Itens!$M$2:$M$501,0))),"")</f>
        <v/>
      </c>
      <c r="I130" s="17">
        <f>IFERROR(IF(INDEX(Itens!$L$2:$L$501,MATCH(118,Itens!$M$2:$M$501,0))="","",INDEX(Itens!$L$2:$L$501,MATCH(118,Itens!$M$2:$M$501,0))),"")</f>
        <v/>
      </c>
    </row>
    <row r="131">
      <c r="A131" s="17">
        <f>IFERROR(IF(INDEX(Itens!$A$2:$A$501,MATCH(119,Itens!$M$2:$M$501,0))="","",INDEX(Itens!$A$2:$A$501,MATCH(119,Itens!$M$2:$M$501,0))),"")</f>
        <v/>
      </c>
      <c r="B131" s="17">
        <f>IFERROR(IF(INDEX(Itens!$C$2:$C$501,MATCH(119,Itens!$M$2:$M$501,0))="","",INDEX(Itens!$C$2:$C$501,MATCH(119,Itens!$M$2:$M$501,0))),"")</f>
        <v/>
      </c>
      <c r="C131" s="17">
        <f>IFERROR(IF(INDEX(Itens!$E$2:$E$501,MATCH(119,Itens!$M$2:$M$501,0))="","",INDEX(Itens!$E$2:$E$501,MATCH(119,Itens!$M$2:$M$501,0))),"")</f>
        <v/>
      </c>
      <c r="D131" s="17">
        <f>IFERROR(IF(INDEX(Itens!$F$2:$F$501,MATCH(119,Itens!$M$2:$M$501,0))="","",INDEX(Itens!$F$2:$F$501,MATCH(119,Itens!$M$2:$M$501,0))),"")</f>
        <v/>
      </c>
      <c r="E131" s="17">
        <f>IFERROR(IF(INDEX(Itens!$G$2:$G$501,MATCH(119,Itens!$M$2:$M$501,0))="","",INDEX(Itens!$G$2:$G$501,MATCH(119,Itens!$M$2:$M$501,0))),"")</f>
        <v/>
      </c>
      <c r="F131" s="17">
        <f>IFERROR(IF(INDEX(Itens!$I$2:$I$501,MATCH(119,Itens!$M$2:$M$501,0))="","",INDEX(Itens!$I$2:$I$501,MATCH(119,Itens!$M$2:$M$501,0))),"")</f>
        <v/>
      </c>
      <c r="G131" s="17">
        <f>IFERROR(IF(INDEX(Itens!$J$2:$J$501,MATCH(119,Itens!$M$2:$M$501,0))="","",INDEX(Itens!$J$2:$J$501,MATCH(119,Itens!$M$2:$M$501,0))),"")</f>
        <v/>
      </c>
      <c r="H131" s="18">
        <f>IFERROR(IF(INDEX(Itens!$K$2:$K$501,MATCH(119,Itens!$M$2:$M$501,0))="","",INDEX(Itens!$K$2:$K$501,MATCH(119,Itens!$M$2:$M$501,0))),"")</f>
        <v/>
      </c>
      <c r="I131" s="17">
        <f>IFERROR(IF(INDEX(Itens!$L$2:$L$501,MATCH(119,Itens!$M$2:$M$501,0))="","",INDEX(Itens!$L$2:$L$501,MATCH(119,Itens!$M$2:$M$501,0))),"")</f>
        <v/>
      </c>
    </row>
    <row r="132">
      <c r="A132" s="17">
        <f>IFERROR(IF(INDEX(Itens!$A$2:$A$501,MATCH(120,Itens!$M$2:$M$501,0))="","",INDEX(Itens!$A$2:$A$501,MATCH(120,Itens!$M$2:$M$501,0))),"")</f>
        <v/>
      </c>
      <c r="B132" s="17">
        <f>IFERROR(IF(INDEX(Itens!$C$2:$C$501,MATCH(120,Itens!$M$2:$M$501,0))="","",INDEX(Itens!$C$2:$C$501,MATCH(120,Itens!$M$2:$M$501,0))),"")</f>
        <v/>
      </c>
      <c r="C132" s="17">
        <f>IFERROR(IF(INDEX(Itens!$E$2:$E$501,MATCH(120,Itens!$M$2:$M$501,0))="","",INDEX(Itens!$E$2:$E$501,MATCH(120,Itens!$M$2:$M$501,0))),"")</f>
        <v/>
      </c>
      <c r="D132" s="17">
        <f>IFERROR(IF(INDEX(Itens!$F$2:$F$501,MATCH(120,Itens!$M$2:$M$501,0))="","",INDEX(Itens!$F$2:$F$501,MATCH(120,Itens!$M$2:$M$501,0))),"")</f>
        <v/>
      </c>
      <c r="E132" s="17">
        <f>IFERROR(IF(INDEX(Itens!$G$2:$G$501,MATCH(120,Itens!$M$2:$M$501,0))="","",INDEX(Itens!$G$2:$G$501,MATCH(120,Itens!$M$2:$M$501,0))),"")</f>
        <v/>
      </c>
      <c r="F132" s="17">
        <f>IFERROR(IF(INDEX(Itens!$I$2:$I$501,MATCH(120,Itens!$M$2:$M$501,0))="","",INDEX(Itens!$I$2:$I$501,MATCH(120,Itens!$M$2:$M$501,0))),"")</f>
        <v/>
      </c>
      <c r="G132" s="17">
        <f>IFERROR(IF(INDEX(Itens!$J$2:$J$501,MATCH(120,Itens!$M$2:$M$501,0))="","",INDEX(Itens!$J$2:$J$501,MATCH(120,Itens!$M$2:$M$501,0))),"")</f>
        <v/>
      </c>
      <c r="H132" s="18">
        <f>IFERROR(IF(INDEX(Itens!$K$2:$K$501,MATCH(120,Itens!$M$2:$M$501,0))="","",INDEX(Itens!$K$2:$K$501,MATCH(120,Itens!$M$2:$M$501,0))),"")</f>
        <v/>
      </c>
      <c r="I132" s="17">
        <f>IFERROR(IF(INDEX(Itens!$L$2:$L$501,MATCH(120,Itens!$M$2:$M$501,0))="","",INDEX(Itens!$L$2:$L$501,MATCH(120,Itens!$M$2:$M$501,0))),"")</f>
        <v/>
      </c>
    </row>
    <row r="133">
      <c r="A133" s="17">
        <f>IFERROR(IF(INDEX(Itens!$A$2:$A$501,MATCH(121,Itens!$M$2:$M$501,0))="","",INDEX(Itens!$A$2:$A$501,MATCH(121,Itens!$M$2:$M$501,0))),"")</f>
        <v/>
      </c>
      <c r="B133" s="17">
        <f>IFERROR(IF(INDEX(Itens!$C$2:$C$501,MATCH(121,Itens!$M$2:$M$501,0))="","",INDEX(Itens!$C$2:$C$501,MATCH(121,Itens!$M$2:$M$501,0))),"")</f>
        <v/>
      </c>
      <c r="C133" s="17">
        <f>IFERROR(IF(INDEX(Itens!$E$2:$E$501,MATCH(121,Itens!$M$2:$M$501,0))="","",INDEX(Itens!$E$2:$E$501,MATCH(121,Itens!$M$2:$M$501,0))),"")</f>
        <v/>
      </c>
      <c r="D133" s="17">
        <f>IFERROR(IF(INDEX(Itens!$F$2:$F$501,MATCH(121,Itens!$M$2:$M$501,0))="","",INDEX(Itens!$F$2:$F$501,MATCH(121,Itens!$M$2:$M$501,0))),"")</f>
        <v/>
      </c>
      <c r="E133" s="17">
        <f>IFERROR(IF(INDEX(Itens!$G$2:$G$501,MATCH(121,Itens!$M$2:$M$501,0))="","",INDEX(Itens!$G$2:$G$501,MATCH(121,Itens!$M$2:$M$501,0))),"")</f>
        <v/>
      </c>
      <c r="F133" s="17">
        <f>IFERROR(IF(INDEX(Itens!$I$2:$I$501,MATCH(121,Itens!$M$2:$M$501,0))="","",INDEX(Itens!$I$2:$I$501,MATCH(121,Itens!$M$2:$M$501,0))),"")</f>
        <v/>
      </c>
      <c r="G133" s="17">
        <f>IFERROR(IF(INDEX(Itens!$J$2:$J$501,MATCH(121,Itens!$M$2:$M$501,0))="","",INDEX(Itens!$J$2:$J$501,MATCH(121,Itens!$M$2:$M$501,0))),"")</f>
        <v/>
      </c>
      <c r="H133" s="18">
        <f>IFERROR(IF(INDEX(Itens!$K$2:$K$501,MATCH(121,Itens!$M$2:$M$501,0))="","",INDEX(Itens!$K$2:$K$501,MATCH(121,Itens!$M$2:$M$501,0))),"")</f>
        <v/>
      </c>
      <c r="I133" s="17">
        <f>IFERROR(IF(INDEX(Itens!$L$2:$L$501,MATCH(121,Itens!$M$2:$M$501,0))="","",INDEX(Itens!$L$2:$L$501,MATCH(121,Itens!$M$2:$M$501,0))),"")</f>
        <v/>
      </c>
    </row>
    <row r="134">
      <c r="A134" s="17">
        <f>IFERROR(IF(INDEX(Itens!$A$2:$A$501,MATCH(122,Itens!$M$2:$M$501,0))="","",INDEX(Itens!$A$2:$A$501,MATCH(122,Itens!$M$2:$M$501,0))),"")</f>
        <v/>
      </c>
      <c r="B134" s="17">
        <f>IFERROR(IF(INDEX(Itens!$C$2:$C$501,MATCH(122,Itens!$M$2:$M$501,0))="","",INDEX(Itens!$C$2:$C$501,MATCH(122,Itens!$M$2:$M$501,0))),"")</f>
        <v/>
      </c>
      <c r="C134" s="17">
        <f>IFERROR(IF(INDEX(Itens!$E$2:$E$501,MATCH(122,Itens!$M$2:$M$501,0))="","",INDEX(Itens!$E$2:$E$501,MATCH(122,Itens!$M$2:$M$501,0))),"")</f>
        <v/>
      </c>
      <c r="D134" s="17">
        <f>IFERROR(IF(INDEX(Itens!$F$2:$F$501,MATCH(122,Itens!$M$2:$M$501,0))="","",INDEX(Itens!$F$2:$F$501,MATCH(122,Itens!$M$2:$M$501,0))),"")</f>
        <v/>
      </c>
      <c r="E134" s="17">
        <f>IFERROR(IF(INDEX(Itens!$G$2:$G$501,MATCH(122,Itens!$M$2:$M$501,0))="","",INDEX(Itens!$G$2:$G$501,MATCH(122,Itens!$M$2:$M$501,0))),"")</f>
        <v/>
      </c>
      <c r="F134" s="17">
        <f>IFERROR(IF(INDEX(Itens!$I$2:$I$501,MATCH(122,Itens!$M$2:$M$501,0))="","",INDEX(Itens!$I$2:$I$501,MATCH(122,Itens!$M$2:$M$501,0))),"")</f>
        <v/>
      </c>
      <c r="G134" s="17">
        <f>IFERROR(IF(INDEX(Itens!$J$2:$J$501,MATCH(122,Itens!$M$2:$M$501,0))="","",INDEX(Itens!$J$2:$J$501,MATCH(122,Itens!$M$2:$M$501,0))),"")</f>
        <v/>
      </c>
      <c r="H134" s="18">
        <f>IFERROR(IF(INDEX(Itens!$K$2:$K$501,MATCH(122,Itens!$M$2:$M$501,0))="","",INDEX(Itens!$K$2:$K$501,MATCH(122,Itens!$M$2:$M$501,0))),"")</f>
        <v/>
      </c>
      <c r="I134" s="17">
        <f>IFERROR(IF(INDEX(Itens!$L$2:$L$501,MATCH(122,Itens!$M$2:$M$501,0))="","",INDEX(Itens!$L$2:$L$501,MATCH(122,Itens!$M$2:$M$501,0))),"")</f>
        <v/>
      </c>
    </row>
    <row r="135">
      <c r="A135" s="17">
        <f>IFERROR(IF(INDEX(Itens!$A$2:$A$501,MATCH(123,Itens!$M$2:$M$501,0))="","",INDEX(Itens!$A$2:$A$501,MATCH(123,Itens!$M$2:$M$501,0))),"")</f>
        <v/>
      </c>
      <c r="B135" s="17">
        <f>IFERROR(IF(INDEX(Itens!$C$2:$C$501,MATCH(123,Itens!$M$2:$M$501,0))="","",INDEX(Itens!$C$2:$C$501,MATCH(123,Itens!$M$2:$M$501,0))),"")</f>
        <v/>
      </c>
      <c r="C135" s="17">
        <f>IFERROR(IF(INDEX(Itens!$E$2:$E$501,MATCH(123,Itens!$M$2:$M$501,0))="","",INDEX(Itens!$E$2:$E$501,MATCH(123,Itens!$M$2:$M$501,0))),"")</f>
        <v/>
      </c>
      <c r="D135" s="17">
        <f>IFERROR(IF(INDEX(Itens!$F$2:$F$501,MATCH(123,Itens!$M$2:$M$501,0))="","",INDEX(Itens!$F$2:$F$501,MATCH(123,Itens!$M$2:$M$501,0))),"")</f>
        <v/>
      </c>
      <c r="E135" s="17">
        <f>IFERROR(IF(INDEX(Itens!$G$2:$G$501,MATCH(123,Itens!$M$2:$M$501,0))="","",INDEX(Itens!$G$2:$G$501,MATCH(123,Itens!$M$2:$M$501,0))),"")</f>
        <v/>
      </c>
      <c r="F135" s="17">
        <f>IFERROR(IF(INDEX(Itens!$I$2:$I$501,MATCH(123,Itens!$M$2:$M$501,0))="","",INDEX(Itens!$I$2:$I$501,MATCH(123,Itens!$M$2:$M$501,0))),"")</f>
        <v/>
      </c>
      <c r="G135" s="17">
        <f>IFERROR(IF(INDEX(Itens!$J$2:$J$501,MATCH(123,Itens!$M$2:$M$501,0))="","",INDEX(Itens!$J$2:$J$501,MATCH(123,Itens!$M$2:$M$501,0))),"")</f>
        <v/>
      </c>
      <c r="H135" s="18">
        <f>IFERROR(IF(INDEX(Itens!$K$2:$K$501,MATCH(123,Itens!$M$2:$M$501,0))="","",INDEX(Itens!$K$2:$K$501,MATCH(123,Itens!$M$2:$M$501,0))),"")</f>
        <v/>
      </c>
      <c r="I135" s="17">
        <f>IFERROR(IF(INDEX(Itens!$L$2:$L$501,MATCH(123,Itens!$M$2:$M$501,0))="","",INDEX(Itens!$L$2:$L$501,MATCH(123,Itens!$M$2:$M$501,0))),"")</f>
        <v/>
      </c>
    </row>
    <row r="136">
      <c r="A136" s="17">
        <f>IFERROR(IF(INDEX(Itens!$A$2:$A$501,MATCH(124,Itens!$M$2:$M$501,0))="","",INDEX(Itens!$A$2:$A$501,MATCH(124,Itens!$M$2:$M$501,0))),"")</f>
        <v/>
      </c>
      <c r="B136" s="17">
        <f>IFERROR(IF(INDEX(Itens!$C$2:$C$501,MATCH(124,Itens!$M$2:$M$501,0))="","",INDEX(Itens!$C$2:$C$501,MATCH(124,Itens!$M$2:$M$501,0))),"")</f>
        <v/>
      </c>
      <c r="C136" s="17">
        <f>IFERROR(IF(INDEX(Itens!$E$2:$E$501,MATCH(124,Itens!$M$2:$M$501,0))="","",INDEX(Itens!$E$2:$E$501,MATCH(124,Itens!$M$2:$M$501,0))),"")</f>
        <v/>
      </c>
      <c r="D136" s="17">
        <f>IFERROR(IF(INDEX(Itens!$F$2:$F$501,MATCH(124,Itens!$M$2:$M$501,0))="","",INDEX(Itens!$F$2:$F$501,MATCH(124,Itens!$M$2:$M$501,0))),"")</f>
        <v/>
      </c>
      <c r="E136" s="17">
        <f>IFERROR(IF(INDEX(Itens!$G$2:$G$501,MATCH(124,Itens!$M$2:$M$501,0))="","",INDEX(Itens!$G$2:$G$501,MATCH(124,Itens!$M$2:$M$501,0))),"")</f>
        <v/>
      </c>
      <c r="F136" s="17">
        <f>IFERROR(IF(INDEX(Itens!$I$2:$I$501,MATCH(124,Itens!$M$2:$M$501,0))="","",INDEX(Itens!$I$2:$I$501,MATCH(124,Itens!$M$2:$M$501,0))),"")</f>
        <v/>
      </c>
      <c r="G136" s="17">
        <f>IFERROR(IF(INDEX(Itens!$J$2:$J$501,MATCH(124,Itens!$M$2:$M$501,0))="","",INDEX(Itens!$J$2:$J$501,MATCH(124,Itens!$M$2:$M$501,0))),"")</f>
        <v/>
      </c>
      <c r="H136" s="18">
        <f>IFERROR(IF(INDEX(Itens!$K$2:$K$501,MATCH(124,Itens!$M$2:$M$501,0))="","",INDEX(Itens!$K$2:$K$501,MATCH(124,Itens!$M$2:$M$501,0))),"")</f>
        <v/>
      </c>
      <c r="I136" s="17">
        <f>IFERROR(IF(INDEX(Itens!$L$2:$L$501,MATCH(124,Itens!$M$2:$M$501,0))="","",INDEX(Itens!$L$2:$L$501,MATCH(124,Itens!$M$2:$M$501,0))),"")</f>
        <v/>
      </c>
    </row>
    <row r="137">
      <c r="A137" s="17">
        <f>IFERROR(IF(INDEX(Itens!$A$2:$A$501,MATCH(125,Itens!$M$2:$M$501,0))="","",INDEX(Itens!$A$2:$A$501,MATCH(125,Itens!$M$2:$M$501,0))),"")</f>
        <v/>
      </c>
      <c r="B137" s="17">
        <f>IFERROR(IF(INDEX(Itens!$C$2:$C$501,MATCH(125,Itens!$M$2:$M$501,0))="","",INDEX(Itens!$C$2:$C$501,MATCH(125,Itens!$M$2:$M$501,0))),"")</f>
        <v/>
      </c>
      <c r="C137" s="17">
        <f>IFERROR(IF(INDEX(Itens!$E$2:$E$501,MATCH(125,Itens!$M$2:$M$501,0))="","",INDEX(Itens!$E$2:$E$501,MATCH(125,Itens!$M$2:$M$501,0))),"")</f>
        <v/>
      </c>
      <c r="D137" s="17">
        <f>IFERROR(IF(INDEX(Itens!$F$2:$F$501,MATCH(125,Itens!$M$2:$M$501,0))="","",INDEX(Itens!$F$2:$F$501,MATCH(125,Itens!$M$2:$M$501,0))),"")</f>
        <v/>
      </c>
      <c r="E137" s="17">
        <f>IFERROR(IF(INDEX(Itens!$G$2:$G$501,MATCH(125,Itens!$M$2:$M$501,0))="","",INDEX(Itens!$G$2:$G$501,MATCH(125,Itens!$M$2:$M$501,0))),"")</f>
        <v/>
      </c>
      <c r="F137" s="17">
        <f>IFERROR(IF(INDEX(Itens!$I$2:$I$501,MATCH(125,Itens!$M$2:$M$501,0))="","",INDEX(Itens!$I$2:$I$501,MATCH(125,Itens!$M$2:$M$501,0))),"")</f>
        <v/>
      </c>
      <c r="G137" s="17">
        <f>IFERROR(IF(INDEX(Itens!$J$2:$J$501,MATCH(125,Itens!$M$2:$M$501,0))="","",INDEX(Itens!$J$2:$J$501,MATCH(125,Itens!$M$2:$M$501,0))),"")</f>
        <v/>
      </c>
      <c r="H137" s="18">
        <f>IFERROR(IF(INDEX(Itens!$K$2:$K$501,MATCH(125,Itens!$M$2:$M$501,0))="","",INDEX(Itens!$K$2:$K$501,MATCH(125,Itens!$M$2:$M$501,0))),"")</f>
        <v/>
      </c>
      <c r="I137" s="17">
        <f>IFERROR(IF(INDEX(Itens!$L$2:$L$501,MATCH(125,Itens!$M$2:$M$501,0))="","",INDEX(Itens!$L$2:$L$501,MATCH(125,Itens!$M$2:$M$501,0))),"")</f>
        <v/>
      </c>
    </row>
    <row r="138">
      <c r="A138" s="17">
        <f>IFERROR(IF(INDEX(Itens!$A$2:$A$501,MATCH(126,Itens!$M$2:$M$501,0))="","",INDEX(Itens!$A$2:$A$501,MATCH(126,Itens!$M$2:$M$501,0))),"")</f>
        <v/>
      </c>
      <c r="B138" s="17">
        <f>IFERROR(IF(INDEX(Itens!$C$2:$C$501,MATCH(126,Itens!$M$2:$M$501,0))="","",INDEX(Itens!$C$2:$C$501,MATCH(126,Itens!$M$2:$M$501,0))),"")</f>
        <v/>
      </c>
      <c r="C138" s="17">
        <f>IFERROR(IF(INDEX(Itens!$E$2:$E$501,MATCH(126,Itens!$M$2:$M$501,0))="","",INDEX(Itens!$E$2:$E$501,MATCH(126,Itens!$M$2:$M$501,0))),"")</f>
        <v/>
      </c>
      <c r="D138" s="17">
        <f>IFERROR(IF(INDEX(Itens!$F$2:$F$501,MATCH(126,Itens!$M$2:$M$501,0))="","",INDEX(Itens!$F$2:$F$501,MATCH(126,Itens!$M$2:$M$501,0))),"")</f>
        <v/>
      </c>
      <c r="E138" s="17">
        <f>IFERROR(IF(INDEX(Itens!$G$2:$G$501,MATCH(126,Itens!$M$2:$M$501,0))="","",INDEX(Itens!$G$2:$G$501,MATCH(126,Itens!$M$2:$M$501,0))),"")</f>
        <v/>
      </c>
      <c r="F138" s="17">
        <f>IFERROR(IF(INDEX(Itens!$I$2:$I$501,MATCH(126,Itens!$M$2:$M$501,0))="","",INDEX(Itens!$I$2:$I$501,MATCH(126,Itens!$M$2:$M$501,0))),"")</f>
        <v/>
      </c>
      <c r="G138" s="17">
        <f>IFERROR(IF(INDEX(Itens!$J$2:$J$501,MATCH(126,Itens!$M$2:$M$501,0))="","",INDEX(Itens!$J$2:$J$501,MATCH(126,Itens!$M$2:$M$501,0))),"")</f>
        <v/>
      </c>
      <c r="H138" s="18">
        <f>IFERROR(IF(INDEX(Itens!$K$2:$K$501,MATCH(126,Itens!$M$2:$M$501,0))="","",INDEX(Itens!$K$2:$K$501,MATCH(126,Itens!$M$2:$M$501,0))),"")</f>
        <v/>
      </c>
      <c r="I138" s="17">
        <f>IFERROR(IF(INDEX(Itens!$L$2:$L$501,MATCH(126,Itens!$M$2:$M$501,0))="","",INDEX(Itens!$L$2:$L$501,MATCH(126,Itens!$M$2:$M$501,0))),"")</f>
        <v/>
      </c>
    </row>
    <row r="139">
      <c r="A139" s="17">
        <f>IFERROR(IF(INDEX(Itens!$A$2:$A$501,MATCH(127,Itens!$M$2:$M$501,0))="","",INDEX(Itens!$A$2:$A$501,MATCH(127,Itens!$M$2:$M$501,0))),"")</f>
        <v/>
      </c>
      <c r="B139" s="17">
        <f>IFERROR(IF(INDEX(Itens!$C$2:$C$501,MATCH(127,Itens!$M$2:$M$501,0))="","",INDEX(Itens!$C$2:$C$501,MATCH(127,Itens!$M$2:$M$501,0))),"")</f>
        <v/>
      </c>
      <c r="C139" s="17">
        <f>IFERROR(IF(INDEX(Itens!$E$2:$E$501,MATCH(127,Itens!$M$2:$M$501,0))="","",INDEX(Itens!$E$2:$E$501,MATCH(127,Itens!$M$2:$M$501,0))),"")</f>
        <v/>
      </c>
      <c r="D139" s="17">
        <f>IFERROR(IF(INDEX(Itens!$F$2:$F$501,MATCH(127,Itens!$M$2:$M$501,0))="","",INDEX(Itens!$F$2:$F$501,MATCH(127,Itens!$M$2:$M$501,0))),"")</f>
        <v/>
      </c>
      <c r="E139" s="17">
        <f>IFERROR(IF(INDEX(Itens!$G$2:$G$501,MATCH(127,Itens!$M$2:$M$501,0))="","",INDEX(Itens!$G$2:$G$501,MATCH(127,Itens!$M$2:$M$501,0))),"")</f>
        <v/>
      </c>
      <c r="F139" s="17">
        <f>IFERROR(IF(INDEX(Itens!$I$2:$I$501,MATCH(127,Itens!$M$2:$M$501,0))="","",INDEX(Itens!$I$2:$I$501,MATCH(127,Itens!$M$2:$M$501,0))),"")</f>
        <v/>
      </c>
      <c r="G139" s="17">
        <f>IFERROR(IF(INDEX(Itens!$J$2:$J$501,MATCH(127,Itens!$M$2:$M$501,0))="","",INDEX(Itens!$J$2:$J$501,MATCH(127,Itens!$M$2:$M$501,0))),"")</f>
        <v/>
      </c>
      <c r="H139" s="18">
        <f>IFERROR(IF(INDEX(Itens!$K$2:$K$501,MATCH(127,Itens!$M$2:$M$501,0))="","",INDEX(Itens!$K$2:$K$501,MATCH(127,Itens!$M$2:$M$501,0))),"")</f>
        <v/>
      </c>
      <c r="I139" s="17">
        <f>IFERROR(IF(INDEX(Itens!$L$2:$L$501,MATCH(127,Itens!$M$2:$M$501,0))="","",INDEX(Itens!$L$2:$L$501,MATCH(127,Itens!$M$2:$M$501,0))),"")</f>
        <v/>
      </c>
    </row>
    <row r="140">
      <c r="A140" s="17">
        <f>IFERROR(IF(INDEX(Itens!$A$2:$A$501,MATCH(128,Itens!$M$2:$M$501,0))="","",INDEX(Itens!$A$2:$A$501,MATCH(128,Itens!$M$2:$M$501,0))),"")</f>
        <v/>
      </c>
      <c r="B140" s="17">
        <f>IFERROR(IF(INDEX(Itens!$C$2:$C$501,MATCH(128,Itens!$M$2:$M$501,0))="","",INDEX(Itens!$C$2:$C$501,MATCH(128,Itens!$M$2:$M$501,0))),"")</f>
        <v/>
      </c>
      <c r="C140" s="17">
        <f>IFERROR(IF(INDEX(Itens!$E$2:$E$501,MATCH(128,Itens!$M$2:$M$501,0))="","",INDEX(Itens!$E$2:$E$501,MATCH(128,Itens!$M$2:$M$501,0))),"")</f>
        <v/>
      </c>
      <c r="D140" s="17">
        <f>IFERROR(IF(INDEX(Itens!$F$2:$F$501,MATCH(128,Itens!$M$2:$M$501,0))="","",INDEX(Itens!$F$2:$F$501,MATCH(128,Itens!$M$2:$M$501,0))),"")</f>
        <v/>
      </c>
      <c r="E140" s="17">
        <f>IFERROR(IF(INDEX(Itens!$G$2:$G$501,MATCH(128,Itens!$M$2:$M$501,0))="","",INDEX(Itens!$G$2:$G$501,MATCH(128,Itens!$M$2:$M$501,0))),"")</f>
        <v/>
      </c>
      <c r="F140" s="17">
        <f>IFERROR(IF(INDEX(Itens!$I$2:$I$501,MATCH(128,Itens!$M$2:$M$501,0))="","",INDEX(Itens!$I$2:$I$501,MATCH(128,Itens!$M$2:$M$501,0))),"")</f>
        <v/>
      </c>
      <c r="G140" s="17">
        <f>IFERROR(IF(INDEX(Itens!$J$2:$J$501,MATCH(128,Itens!$M$2:$M$501,0))="","",INDEX(Itens!$J$2:$J$501,MATCH(128,Itens!$M$2:$M$501,0))),"")</f>
        <v/>
      </c>
      <c r="H140" s="18">
        <f>IFERROR(IF(INDEX(Itens!$K$2:$K$501,MATCH(128,Itens!$M$2:$M$501,0))="","",INDEX(Itens!$K$2:$K$501,MATCH(128,Itens!$M$2:$M$501,0))),"")</f>
        <v/>
      </c>
      <c r="I140" s="17">
        <f>IFERROR(IF(INDEX(Itens!$L$2:$L$501,MATCH(128,Itens!$M$2:$M$501,0))="","",INDEX(Itens!$L$2:$L$501,MATCH(128,Itens!$M$2:$M$501,0))),"")</f>
        <v/>
      </c>
    </row>
    <row r="141">
      <c r="A141" s="17">
        <f>IFERROR(IF(INDEX(Itens!$A$2:$A$501,MATCH(129,Itens!$M$2:$M$501,0))="","",INDEX(Itens!$A$2:$A$501,MATCH(129,Itens!$M$2:$M$501,0))),"")</f>
        <v/>
      </c>
      <c r="B141" s="17">
        <f>IFERROR(IF(INDEX(Itens!$C$2:$C$501,MATCH(129,Itens!$M$2:$M$501,0))="","",INDEX(Itens!$C$2:$C$501,MATCH(129,Itens!$M$2:$M$501,0))),"")</f>
        <v/>
      </c>
      <c r="C141" s="17">
        <f>IFERROR(IF(INDEX(Itens!$E$2:$E$501,MATCH(129,Itens!$M$2:$M$501,0))="","",INDEX(Itens!$E$2:$E$501,MATCH(129,Itens!$M$2:$M$501,0))),"")</f>
        <v/>
      </c>
      <c r="D141" s="17">
        <f>IFERROR(IF(INDEX(Itens!$F$2:$F$501,MATCH(129,Itens!$M$2:$M$501,0))="","",INDEX(Itens!$F$2:$F$501,MATCH(129,Itens!$M$2:$M$501,0))),"")</f>
        <v/>
      </c>
      <c r="E141" s="17">
        <f>IFERROR(IF(INDEX(Itens!$G$2:$G$501,MATCH(129,Itens!$M$2:$M$501,0))="","",INDEX(Itens!$G$2:$G$501,MATCH(129,Itens!$M$2:$M$501,0))),"")</f>
        <v/>
      </c>
      <c r="F141" s="17">
        <f>IFERROR(IF(INDEX(Itens!$I$2:$I$501,MATCH(129,Itens!$M$2:$M$501,0))="","",INDEX(Itens!$I$2:$I$501,MATCH(129,Itens!$M$2:$M$501,0))),"")</f>
        <v/>
      </c>
      <c r="G141" s="17">
        <f>IFERROR(IF(INDEX(Itens!$J$2:$J$501,MATCH(129,Itens!$M$2:$M$501,0))="","",INDEX(Itens!$J$2:$J$501,MATCH(129,Itens!$M$2:$M$501,0))),"")</f>
        <v/>
      </c>
      <c r="H141" s="18">
        <f>IFERROR(IF(INDEX(Itens!$K$2:$K$501,MATCH(129,Itens!$M$2:$M$501,0))="","",INDEX(Itens!$K$2:$K$501,MATCH(129,Itens!$M$2:$M$501,0))),"")</f>
        <v/>
      </c>
      <c r="I141" s="17">
        <f>IFERROR(IF(INDEX(Itens!$L$2:$L$501,MATCH(129,Itens!$M$2:$M$501,0))="","",INDEX(Itens!$L$2:$L$501,MATCH(129,Itens!$M$2:$M$501,0))),"")</f>
        <v/>
      </c>
    </row>
    <row r="142">
      <c r="A142" s="17">
        <f>IFERROR(IF(INDEX(Itens!$A$2:$A$501,MATCH(130,Itens!$M$2:$M$501,0))="","",INDEX(Itens!$A$2:$A$501,MATCH(130,Itens!$M$2:$M$501,0))),"")</f>
        <v/>
      </c>
      <c r="B142" s="17">
        <f>IFERROR(IF(INDEX(Itens!$C$2:$C$501,MATCH(130,Itens!$M$2:$M$501,0))="","",INDEX(Itens!$C$2:$C$501,MATCH(130,Itens!$M$2:$M$501,0))),"")</f>
        <v/>
      </c>
      <c r="C142" s="17">
        <f>IFERROR(IF(INDEX(Itens!$E$2:$E$501,MATCH(130,Itens!$M$2:$M$501,0))="","",INDEX(Itens!$E$2:$E$501,MATCH(130,Itens!$M$2:$M$501,0))),"")</f>
        <v/>
      </c>
      <c r="D142" s="17">
        <f>IFERROR(IF(INDEX(Itens!$F$2:$F$501,MATCH(130,Itens!$M$2:$M$501,0))="","",INDEX(Itens!$F$2:$F$501,MATCH(130,Itens!$M$2:$M$501,0))),"")</f>
        <v/>
      </c>
      <c r="E142" s="17">
        <f>IFERROR(IF(INDEX(Itens!$G$2:$G$501,MATCH(130,Itens!$M$2:$M$501,0))="","",INDEX(Itens!$G$2:$G$501,MATCH(130,Itens!$M$2:$M$501,0))),"")</f>
        <v/>
      </c>
      <c r="F142" s="17">
        <f>IFERROR(IF(INDEX(Itens!$I$2:$I$501,MATCH(130,Itens!$M$2:$M$501,0))="","",INDEX(Itens!$I$2:$I$501,MATCH(130,Itens!$M$2:$M$501,0))),"")</f>
        <v/>
      </c>
      <c r="G142" s="17">
        <f>IFERROR(IF(INDEX(Itens!$J$2:$J$501,MATCH(130,Itens!$M$2:$M$501,0))="","",INDEX(Itens!$J$2:$J$501,MATCH(130,Itens!$M$2:$M$501,0))),"")</f>
        <v/>
      </c>
      <c r="H142" s="18">
        <f>IFERROR(IF(INDEX(Itens!$K$2:$K$501,MATCH(130,Itens!$M$2:$M$501,0))="","",INDEX(Itens!$K$2:$K$501,MATCH(130,Itens!$M$2:$M$501,0))),"")</f>
        <v/>
      </c>
      <c r="I142" s="17">
        <f>IFERROR(IF(INDEX(Itens!$L$2:$L$501,MATCH(130,Itens!$M$2:$M$501,0))="","",INDEX(Itens!$L$2:$L$501,MATCH(130,Itens!$M$2:$M$501,0))),"")</f>
        <v/>
      </c>
    </row>
    <row r="143">
      <c r="A143" s="17">
        <f>IFERROR(IF(INDEX(Itens!$A$2:$A$501,MATCH(131,Itens!$M$2:$M$501,0))="","",INDEX(Itens!$A$2:$A$501,MATCH(131,Itens!$M$2:$M$501,0))),"")</f>
        <v/>
      </c>
      <c r="B143" s="17">
        <f>IFERROR(IF(INDEX(Itens!$C$2:$C$501,MATCH(131,Itens!$M$2:$M$501,0))="","",INDEX(Itens!$C$2:$C$501,MATCH(131,Itens!$M$2:$M$501,0))),"")</f>
        <v/>
      </c>
      <c r="C143" s="17">
        <f>IFERROR(IF(INDEX(Itens!$E$2:$E$501,MATCH(131,Itens!$M$2:$M$501,0))="","",INDEX(Itens!$E$2:$E$501,MATCH(131,Itens!$M$2:$M$501,0))),"")</f>
        <v/>
      </c>
      <c r="D143" s="17">
        <f>IFERROR(IF(INDEX(Itens!$F$2:$F$501,MATCH(131,Itens!$M$2:$M$501,0))="","",INDEX(Itens!$F$2:$F$501,MATCH(131,Itens!$M$2:$M$501,0))),"")</f>
        <v/>
      </c>
      <c r="E143" s="17">
        <f>IFERROR(IF(INDEX(Itens!$G$2:$G$501,MATCH(131,Itens!$M$2:$M$501,0))="","",INDEX(Itens!$G$2:$G$501,MATCH(131,Itens!$M$2:$M$501,0))),"")</f>
        <v/>
      </c>
      <c r="F143" s="17">
        <f>IFERROR(IF(INDEX(Itens!$I$2:$I$501,MATCH(131,Itens!$M$2:$M$501,0))="","",INDEX(Itens!$I$2:$I$501,MATCH(131,Itens!$M$2:$M$501,0))),"")</f>
        <v/>
      </c>
      <c r="G143" s="17">
        <f>IFERROR(IF(INDEX(Itens!$J$2:$J$501,MATCH(131,Itens!$M$2:$M$501,0))="","",INDEX(Itens!$J$2:$J$501,MATCH(131,Itens!$M$2:$M$501,0))),"")</f>
        <v/>
      </c>
      <c r="H143" s="18">
        <f>IFERROR(IF(INDEX(Itens!$K$2:$K$501,MATCH(131,Itens!$M$2:$M$501,0))="","",INDEX(Itens!$K$2:$K$501,MATCH(131,Itens!$M$2:$M$501,0))),"")</f>
        <v/>
      </c>
      <c r="I143" s="17">
        <f>IFERROR(IF(INDEX(Itens!$L$2:$L$501,MATCH(131,Itens!$M$2:$M$501,0))="","",INDEX(Itens!$L$2:$L$501,MATCH(131,Itens!$M$2:$M$501,0))),"")</f>
        <v/>
      </c>
    </row>
    <row r="144">
      <c r="A144" s="17">
        <f>IFERROR(IF(INDEX(Itens!$A$2:$A$501,MATCH(132,Itens!$M$2:$M$501,0))="","",INDEX(Itens!$A$2:$A$501,MATCH(132,Itens!$M$2:$M$501,0))),"")</f>
        <v/>
      </c>
      <c r="B144" s="17">
        <f>IFERROR(IF(INDEX(Itens!$C$2:$C$501,MATCH(132,Itens!$M$2:$M$501,0))="","",INDEX(Itens!$C$2:$C$501,MATCH(132,Itens!$M$2:$M$501,0))),"")</f>
        <v/>
      </c>
      <c r="C144" s="17">
        <f>IFERROR(IF(INDEX(Itens!$E$2:$E$501,MATCH(132,Itens!$M$2:$M$501,0))="","",INDEX(Itens!$E$2:$E$501,MATCH(132,Itens!$M$2:$M$501,0))),"")</f>
        <v/>
      </c>
      <c r="D144" s="17">
        <f>IFERROR(IF(INDEX(Itens!$F$2:$F$501,MATCH(132,Itens!$M$2:$M$501,0))="","",INDEX(Itens!$F$2:$F$501,MATCH(132,Itens!$M$2:$M$501,0))),"")</f>
        <v/>
      </c>
      <c r="E144" s="17">
        <f>IFERROR(IF(INDEX(Itens!$G$2:$G$501,MATCH(132,Itens!$M$2:$M$501,0))="","",INDEX(Itens!$G$2:$G$501,MATCH(132,Itens!$M$2:$M$501,0))),"")</f>
        <v/>
      </c>
      <c r="F144" s="17">
        <f>IFERROR(IF(INDEX(Itens!$I$2:$I$501,MATCH(132,Itens!$M$2:$M$501,0))="","",INDEX(Itens!$I$2:$I$501,MATCH(132,Itens!$M$2:$M$501,0))),"")</f>
        <v/>
      </c>
      <c r="G144" s="17">
        <f>IFERROR(IF(INDEX(Itens!$J$2:$J$501,MATCH(132,Itens!$M$2:$M$501,0))="","",INDEX(Itens!$J$2:$J$501,MATCH(132,Itens!$M$2:$M$501,0))),"")</f>
        <v/>
      </c>
      <c r="H144" s="18">
        <f>IFERROR(IF(INDEX(Itens!$K$2:$K$501,MATCH(132,Itens!$M$2:$M$501,0))="","",INDEX(Itens!$K$2:$K$501,MATCH(132,Itens!$M$2:$M$501,0))),"")</f>
        <v/>
      </c>
      <c r="I144" s="17">
        <f>IFERROR(IF(INDEX(Itens!$L$2:$L$501,MATCH(132,Itens!$M$2:$M$501,0))="","",INDEX(Itens!$L$2:$L$501,MATCH(132,Itens!$M$2:$M$501,0))),"")</f>
        <v/>
      </c>
    </row>
    <row r="145">
      <c r="A145" s="17">
        <f>IFERROR(IF(INDEX(Itens!$A$2:$A$501,MATCH(133,Itens!$M$2:$M$501,0))="","",INDEX(Itens!$A$2:$A$501,MATCH(133,Itens!$M$2:$M$501,0))),"")</f>
        <v/>
      </c>
      <c r="B145" s="17">
        <f>IFERROR(IF(INDEX(Itens!$C$2:$C$501,MATCH(133,Itens!$M$2:$M$501,0))="","",INDEX(Itens!$C$2:$C$501,MATCH(133,Itens!$M$2:$M$501,0))),"")</f>
        <v/>
      </c>
      <c r="C145" s="17">
        <f>IFERROR(IF(INDEX(Itens!$E$2:$E$501,MATCH(133,Itens!$M$2:$M$501,0))="","",INDEX(Itens!$E$2:$E$501,MATCH(133,Itens!$M$2:$M$501,0))),"")</f>
        <v/>
      </c>
      <c r="D145" s="17">
        <f>IFERROR(IF(INDEX(Itens!$F$2:$F$501,MATCH(133,Itens!$M$2:$M$501,0))="","",INDEX(Itens!$F$2:$F$501,MATCH(133,Itens!$M$2:$M$501,0))),"")</f>
        <v/>
      </c>
      <c r="E145" s="17">
        <f>IFERROR(IF(INDEX(Itens!$G$2:$G$501,MATCH(133,Itens!$M$2:$M$501,0))="","",INDEX(Itens!$G$2:$G$501,MATCH(133,Itens!$M$2:$M$501,0))),"")</f>
        <v/>
      </c>
      <c r="F145" s="17">
        <f>IFERROR(IF(INDEX(Itens!$I$2:$I$501,MATCH(133,Itens!$M$2:$M$501,0))="","",INDEX(Itens!$I$2:$I$501,MATCH(133,Itens!$M$2:$M$501,0))),"")</f>
        <v/>
      </c>
      <c r="G145" s="17">
        <f>IFERROR(IF(INDEX(Itens!$J$2:$J$501,MATCH(133,Itens!$M$2:$M$501,0))="","",INDEX(Itens!$J$2:$J$501,MATCH(133,Itens!$M$2:$M$501,0))),"")</f>
        <v/>
      </c>
      <c r="H145" s="18">
        <f>IFERROR(IF(INDEX(Itens!$K$2:$K$501,MATCH(133,Itens!$M$2:$M$501,0))="","",INDEX(Itens!$K$2:$K$501,MATCH(133,Itens!$M$2:$M$501,0))),"")</f>
        <v/>
      </c>
      <c r="I145" s="17">
        <f>IFERROR(IF(INDEX(Itens!$L$2:$L$501,MATCH(133,Itens!$M$2:$M$501,0))="","",INDEX(Itens!$L$2:$L$501,MATCH(133,Itens!$M$2:$M$501,0))),"")</f>
        <v/>
      </c>
    </row>
    <row r="146">
      <c r="A146" s="17">
        <f>IFERROR(IF(INDEX(Itens!$A$2:$A$501,MATCH(134,Itens!$M$2:$M$501,0))="","",INDEX(Itens!$A$2:$A$501,MATCH(134,Itens!$M$2:$M$501,0))),"")</f>
        <v/>
      </c>
      <c r="B146" s="17">
        <f>IFERROR(IF(INDEX(Itens!$C$2:$C$501,MATCH(134,Itens!$M$2:$M$501,0))="","",INDEX(Itens!$C$2:$C$501,MATCH(134,Itens!$M$2:$M$501,0))),"")</f>
        <v/>
      </c>
      <c r="C146" s="17">
        <f>IFERROR(IF(INDEX(Itens!$E$2:$E$501,MATCH(134,Itens!$M$2:$M$501,0))="","",INDEX(Itens!$E$2:$E$501,MATCH(134,Itens!$M$2:$M$501,0))),"")</f>
        <v/>
      </c>
      <c r="D146" s="17">
        <f>IFERROR(IF(INDEX(Itens!$F$2:$F$501,MATCH(134,Itens!$M$2:$M$501,0))="","",INDEX(Itens!$F$2:$F$501,MATCH(134,Itens!$M$2:$M$501,0))),"")</f>
        <v/>
      </c>
      <c r="E146" s="17">
        <f>IFERROR(IF(INDEX(Itens!$G$2:$G$501,MATCH(134,Itens!$M$2:$M$501,0))="","",INDEX(Itens!$G$2:$G$501,MATCH(134,Itens!$M$2:$M$501,0))),"")</f>
        <v/>
      </c>
      <c r="F146" s="17">
        <f>IFERROR(IF(INDEX(Itens!$I$2:$I$501,MATCH(134,Itens!$M$2:$M$501,0))="","",INDEX(Itens!$I$2:$I$501,MATCH(134,Itens!$M$2:$M$501,0))),"")</f>
        <v/>
      </c>
      <c r="G146" s="17">
        <f>IFERROR(IF(INDEX(Itens!$J$2:$J$501,MATCH(134,Itens!$M$2:$M$501,0))="","",INDEX(Itens!$J$2:$J$501,MATCH(134,Itens!$M$2:$M$501,0))),"")</f>
        <v/>
      </c>
      <c r="H146" s="18">
        <f>IFERROR(IF(INDEX(Itens!$K$2:$K$501,MATCH(134,Itens!$M$2:$M$501,0))="","",INDEX(Itens!$K$2:$K$501,MATCH(134,Itens!$M$2:$M$501,0))),"")</f>
        <v/>
      </c>
      <c r="I146" s="17">
        <f>IFERROR(IF(INDEX(Itens!$L$2:$L$501,MATCH(134,Itens!$M$2:$M$501,0))="","",INDEX(Itens!$L$2:$L$501,MATCH(134,Itens!$M$2:$M$501,0))),"")</f>
        <v/>
      </c>
    </row>
    <row r="147">
      <c r="A147" s="17">
        <f>IFERROR(IF(INDEX(Itens!$A$2:$A$501,MATCH(135,Itens!$M$2:$M$501,0))="","",INDEX(Itens!$A$2:$A$501,MATCH(135,Itens!$M$2:$M$501,0))),"")</f>
        <v/>
      </c>
      <c r="B147" s="17">
        <f>IFERROR(IF(INDEX(Itens!$C$2:$C$501,MATCH(135,Itens!$M$2:$M$501,0))="","",INDEX(Itens!$C$2:$C$501,MATCH(135,Itens!$M$2:$M$501,0))),"")</f>
        <v/>
      </c>
      <c r="C147" s="17">
        <f>IFERROR(IF(INDEX(Itens!$E$2:$E$501,MATCH(135,Itens!$M$2:$M$501,0))="","",INDEX(Itens!$E$2:$E$501,MATCH(135,Itens!$M$2:$M$501,0))),"")</f>
        <v/>
      </c>
      <c r="D147" s="17">
        <f>IFERROR(IF(INDEX(Itens!$F$2:$F$501,MATCH(135,Itens!$M$2:$M$501,0))="","",INDEX(Itens!$F$2:$F$501,MATCH(135,Itens!$M$2:$M$501,0))),"")</f>
        <v/>
      </c>
      <c r="E147" s="17">
        <f>IFERROR(IF(INDEX(Itens!$G$2:$G$501,MATCH(135,Itens!$M$2:$M$501,0))="","",INDEX(Itens!$G$2:$G$501,MATCH(135,Itens!$M$2:$M$501,0))),"")</f>
        <v/>
      </c>
      <c r="F147" s="17">
        <f>IFERROR(IF(INDEX(Itens!$I$2:$I$501,MATCH(135,Itens!$M$2:$M$501,0))="","",INDEX(Itens!$I$2:$I$501,MATCH(135,Itens!$M$2:$M$501,0))),"")</f>
        <v/>
      </c>
      <c r="G147" s="17">
        <f>IFERROR(IF(INDEX(Itens!$J$2:$J$501,MATCH(135,Itens!$M$2:$M$501,0))="","",INDEX(Itens!$J$2:$J$501,MATCH(135,Itens!$M$2:$M$501,0))),"")</f>
        <v/>
      </c>
      <c r="H147" s="18">
        <f>IFERROR(IF(INDEX(Itens!$K$2:$K$501,MATCH(135,Itens!$M$2:$M$501,0))="","",INDEX(Itens!$K$2:$K$501,MATCH(135,Itens!$M$2:$M$501,0))),"")</f>
        <v/>
      </c>
      <c r="I147" s="17">
        <f>IFERROR(IF(INDEX(Itens!$L$2:$L$501,MATCH(135,Itens!$M$2:$M$501,0))="","",INDEX(Itens!$L$2:$L$501,MATCH(135,Itens!$M$2:$M$501,0))),"")</f>
        <v/>
      </c>
    </row>
    <row r="148">
      <c r="A148" s="17">
        <f>IFERROR(IF(INDEX(Itens!$A$2:$A$501,MATCH(136,Itens!$M$2:$M$501,0))="","",INDEX(Itens!$A$2:$A$501,MATCH(136,Itens!$M$2:$M$501,0))),"")</f>
        <v/>
      </c>
      <c r="B148" s="17">
        <f>IFERROR(IF(INDEX(Itens!$C$2:$C$501,MATCH(136,Itens!$M$2:$M$501,0))="","",INDEX(Itens!$C$2:$C$501,MATCH(136,Itens!$M$2:$M$501,0))),"")</f>
        <v/>
      </c>
      <c r="C148" s="17">
        <f>IFERROR(IF(INDEX(Itens!$E$2:$E$501,MATCH(136,Itens!$M$2:$M$501,0))="","",INDEX(Itens!$E$2:$E$501,MATCH(136,Itens!$M$2:$M$501,0))),"")</f>
        <v/>
      </c>
      <c r="D148" s="17">
        <f>IFERROR(IF(INDEX(Itens!$F$2:$F$501,MATCH(136,Itens!$M$2:$M$501,0))="","",INDEX(Itens!$F$2:$F$501,MATCH(136,Itens!$M$2:$M$501,0))),"")</f>
        <v/>
      </c>
      <c r="E148" s="17">
        <f>IFERROR(IF(INDEX(Itens!$G$2:$G$501,MATCH(136,Itens!$M$2:$M$501,0))="","",INDEX(Itens!$G$2:$G$501,MATCH(136,Itens!$M$2:$M$501,0))),"")</f>
        <v/>
      </c>
      <c r="F148" s="17">
        <f>IFERROR(IF(INDEX(Itens!$I$2:$I$501,MATCH(136,Itens!$M$2:$M$501,0))="","",INDEX(Itens!$I$2:$I$501,MATCH(136,Itens!$M$2:$M$501,0))),"")</f>
        <v/>
      </c>
      <c r="G148" s="17">
        <f>IFERROR(IF(INDEX(Itens!$J$2:$J$501,MATCH(136,Itens!$M$2:$M$501,0))="","",INDEX(Itens!$J$2:$J$501,MATCH(136,Itens!$M$2:$M$501,0))),"")</f>
        <v/>
      </c>
      <c r="H148" s="18">
        <f>IFERROR(IF(INDEX(Itens!$K$2:$K$501,MATCH(136,Itens!$M$2:$M$501,0))="","",INDEX(Itens!$K$2:$K$501,MATCH(136,Itens!$M$2:$M$501,0))),"")</f>
        <v/>
      </c>
      <c r="I148" s="17">
        <f>IFERROR(IF(INDEX(Itens!$L$2:$L$501,MATCH(136,Itens!$M$2:$M$501,0))="","",INDEX(Itens!$L$2:$L$501,MATCH(136,Itens!$M$2:$M$501,0))),"")</f>
        <v/>
      </c>
    </row>
    <row r="149">
      <c r="A149" s="17">
        <f>IFERROR(IF(INDEX(Itens!$A$2:$A$501,MATCH(137,Itens!$M$2:$M$501,0))="","",INDEX(Itens!$A$2:$A$501,MATCH(137,Itens!$M$2:$M$501,0))),"")</f>
        <v/>
      </c>
      <c r="B149" s="17">
        <f>IFERROR(IF(INDEX(Itens!$C$2:$C$501,MATCH(137,Itens!$M$2:$M$501,0))="","",INDEX(Itens!$C$2:$C$501,MATCH(137,Itens!$M$2:$M$501,0))),"")</f>
        <v/>
      </c>
      <c r="C149" s="17">
        <f>IFERROR(IF(INDEX(Itens!$E$2:$E$501,MATCH(137,Itens!$M$2:$M$501,0))="","",INDEX(Itens!$E$2:$E$501,MATCH(137,Itens!$M$2:$M$501,0))),"")</f>
        <v/>
      </c>
      <c r="D149" s="17">
        <f>IFERROR(IF(INDEX(Itens!$F$2:$F$501,MATCH(137,Itens!$M$2:$M$501,0))="","",INDEX(Itens!$F$2:$F$501,MATCH(137,Itens!$M$2:$M$501,0))),"")</f>
        <v/>
      </c>
      <c r="E149" s="17">
        <f>IFERROR(IF(INDEX(Itens!$G$2:$G$501,MATCH(137,Itens!$M$2:$M$501,0))="","",INDEX(Itens!$G$2:$G$501,MATCH(137,Itens!$M$2:$M$501,0))),"")</f>
        <v/>
      </c>
      <c r="F149" s="17">
        <f>IFERROR(IF(INDEX(Itens!$I$2:$I$501,MATCH(137,Itens!$M$2:$M$501,0))="","",INDEX(Itens!$I$2:$I$501,MATCH(137,Itens!$M$2:$M$501,0))),"")</f>
        <v/>
      </c>
      <c r="G149" s="17">
        <f>IFERROR(IF(INDEX(Itens!$J$2:$J$501,MATCH(137,Itens!$M$2:$M$501,0))="","",INDEX(Itens!$J$2:$J$501,MATCH(137,Itens!$M$2:$M$501,0))),"")</f>
        <v/>
      </c>
      <c r="H149" s="18">
        <f>IFERROR(IF(INDEX(Itens!$K$2:$K$501,MATCH(137,Itens!$M$2:$M$501,0))="","",INDEX(Itens!$K$2:$K$501,MATCH(137,Itens!$M$2:$M$501,0))),"")</f>
        <v/>
      </c>
      <c r="I149" s="17">
        <f>IFERROR(IF(INDEX(Itens!$L$2:$L$501,MATCH(137,Itens!$M$2:$M$501,0))="","",INDEX(Itens!$L$2:$L$501,MATCH(137,Itens!$M$2:$M$501,0))),"")</f>
        <v/>
      </c>
    </row>
    <row r="150">
      <c r="A150" s="17">
        <f>IFERROR(IF(INDEX(Itens!$A$2:$A$501,MATCH(138,Itens!$M$2:$M$501,0))="","",INDEX(Itens!$A$2:$A$501,MATCH(138,Itens!$M$2:$M$501,0))),"")</f>
        <v/>
      </c>
      <c r="B150" s="17">
        <f>IFERROR(IF(INDEX(Itens!$C$2:$C$501,MATCH(138,Itens!$M$2:$M$501,0))="","",INDEX(Itens!$C$2:$C$501,MATCH(138,Itens!$M$2:$M$501,0))),"")</f>
        <v/>
      </c>
      <c r="C150" s="17">
        <f>IFERROR(IF(INDEX(Itens!$E$2:$E$501,MATCH(138,Itens!$M$2:$M$501,0))="","",INDEX(Itens!$E$2:$E$501,MATCH(138,Itens!$M$2:$M$501,0))),"")</f>
        <v/>
      </c>
      <c r="D150" s="17">
        <f>IFERROR(IF(INDEX(Itens!$F$2:$F$501,MATCH(138,Itens!$M$2:$M$501,0))="","",INDEX(Itens!$F$2:$F$501,MATCH(138,Itens!$M$2:$M$501,0))),"")</f>
        <v/>
      </c>
      <c r="E150" s="17">
        <f>IFERROR(IF(INDEX(Itens!$G$2:$G$501,MATCH(138,Itens!$M$2:$M$501,0))="","",INDEX(Itens!$G$2:$G$501,MATCH(138,Itens!$M$2:$M$501,0))),"")</f>
        <v/>
      </c>
      <c r="F150" s="17">
        <f>IFERROR(IF(INDEX(Itens!$I$2:$I$501,MATCH(138,Itens!$M$2:$M$501,0))="","",INDEX(Itens!$I$2:$I$501,MATCH(138,Itens!$M$2:$M$501,0))),"")</f>
        <v/>
      </c>
      <c r="G150" s="17">
        <f>IFERROR(IF(INDEX(Itens!$J$2:$J$501,MATCH(138,Itens!$M$2:$M$501,0))="","",INDEX(Itens!$J$2:$J$501,MATCH(138,Itens!$M$2:$M$501,0))),"")</f>
        <v/>
      </c>
      <c r="H150" s="18">
        <f>IFERROR(IF(INDEX(Itens!$K$2:$K$501,MATCH(138,Itens!$M$2:$M$501,0))="","",INDEX(Itens!$K$2:$K$501,MATCH(138,Itens!$M$2:$M$501,0))),"")</f>
        <v/>
      </c>
      <c r="I150" s="17">
        <f>IFERROR(IF(INDEX(Itens!$L$2:$L$501,MATCH(138,Itens!$M$2:$M$501,0))="","",INDEX(Itens!$L$2:$L$501,MATCH(138,Itens!$M$2:$M$501,0))),"")</f>
        <v/>
      </c>
    </row>
    <row r="151">
      <c r="A151" s="17">
        <f>IFERROR(IF(INDEX(Itens!$A$2:$A$501,MATCH(139,Itens!$M$2:$M$501,0))="","",INDEX(Itens!$A$2:$A$501,MATCH(139,Itens!$M$2:$M$501,0))),"")</f>
        <v/>
      </c>
      <c r="B151" s="17">
        <f>IFERROR(IF(INDEX(Itens!$C$2:$C$501,MATCH(139,Itens!$M$2:$M$501,0))="","",INDEX(Itens!$C$2:$C$501,MATCH(139,Itens!$M$2:$M$501,0))),"")</f>
        <v/>
      </c>
      <c r="C151" s="17">
        <f>IFERROR(IF(INDEX(Itens!$E$2:$E$501,MATCH(139,Itens!$M$2:$M$501,0))="","",INDEX(Itens!$E$2:$E$501,MATCH(139,Itens!$M$2:$M$501,0))),"")</f>
        <v/>
      </c>
      <c r="D151" s="17">
        <f>IFERROR(IF(INDEX(Itens!$F$2:$F$501,MATCH(139,Itens!$M$2:$M$501,0))="","",INDEX(Itens!$F$2:$F$501,MATCH(139,Itens!$M$2:$M$501,0))),"")</f>
        <v/>
      </c>
      <c r="E151" s="17">
        <f>IFERROR(IF(INDEX(Itens!$G$2:$G$501,MATCH(139,Itens!$M$2:$M$501,0))="","",INDEX(Itens!$G$2:$G$501,MATCH(139,Itens!$M$2:$M$501,0))),"")</f>
        <v/>
      </c>
      <c r="F151" s="17">
        <f>IFERROR(IF(INDEX(Itens!$I$2:$I$501,MATCH(139,Itens!$M$2:$M$501,0))="","",INDEX(Itens!$I$2:$I$501,MATCH(139,Itens!$M$2:$M$501,0))),"")</f>
        <v/>
      </c>
      <c r="G151" s="17">
        <f>IFERROR(IF(INDEX(Itens!$J$2:$J$501,MATCH(139,Itens!$M$2:$M$501,0))="","",INDEX(Itens!$J$2:$J$501,MATCH(139,Itens!$M$2:$M$501,0))),"")</f>
        <v/>
      </c>
      <c r="H151" s="18">
        <f>IFERROR(IF(INDEX(Itens!$K$2:$K$501,MATCH(139,Itens!$M$2:$M$501,0))="","",INDEX(Itens!$K$2:$K$501,MATCH(139,Itens!$M$2:$M$501,0))),"")</f>
        <v/>
      </c>
      <c r="I151" s="17">
        <f>IFERROR(IF(INDEX(Itens!$L$2:$L$501,MATCH(139,Itens!$M$2:$M$501,0))="","",INDEX(Itens!$L$2:$L$501,MATCH(139,Itens!$M$2:$M$501,0))),"")</f>
        <v/>
      </c>
    </row>
    <row r="152">
      <c r="A152" s="17">
        <f>IFERROR(IF(INDEX(Itens!$A$2:$A$501,MATCH(140,Itens!$M$2:$M$501,0))="","",INDEX(Itens!$A$2:$A$501,MATCH(140,Itens!$M$2:$M$501,0))),"")</f>
        <v/>
      </c>
      <c r="B152" s="17">
        <f>IFERROR(IF(INDEX(Itens!$C$2:$C$501,MATCH(140,Itens!$M$2:$M$501,0))="","",INDEX(Itens!$C$2:$C$501,MATCH(140,Itens!$M$2:$M$501,0))),"")</f>
        <v/>
      </c>
      <c r="C152" s="17">
        <f>IFERROR(IF(INDEX(Itens!$E$2:$E$501,MATCH(140,Itens!$M$2:$M$501,0))="","",INDEX(Itens!$E$2:$E$501,MATCH(140,Itens!$M$2:$M$501,0))),"")</f>
        <v/>
      </c>
      <c r="D152" s="17">
        <f>IFERROR(IF(INDEX(Itens!$F$2:$F$501,MATCH(140,Itens!$M$2:$M$501,0))="","",INDEX(Itens!$F$2:$F$501,MATCH(140,Itens!$M$2:$M$501,0))),"")</f>
        <v/>
      </c>
      <c r="E152" s="17">
        <f>IFERROR(IF(INDEX(Itens!$G$2:$G$501,MATCH(140,Itens!$M$2:$M$501,0))="","",INDEX(Itens!$G$2:$G$501,MATCH(140,Itens!$M$2:$M$501,0))),"")</f>
        <v/>
      </c>
      <c r="F152" s="17">
        <f>IFERROR(IF(INDEX(Itens!$I$2:$I$501,MATCH(140,Itens!$M$2:$M$501,0))="","",INDEX(Itens!$I$2:$I$501,MATCH(140,Itens!$M$2:$M$501,0))),"")</f>
        <v/>
      </c>
      <c r="G152" s="17">
        <f>IFERROR(IF(INDEX(Itens!$J$2:$J$501,MATCH(140,Itens!$M$2:$M$501,0))="","",INDEX(Itens!$J$2:$J$501,MATCH(140,Itens!$M$2:$M$501,0))),"")</f>
        <v/>
      </c>
      <c r="H152" s="18">
        <f>IFERROR(IF(INDEX(Itens!$K$2:$K$501,MATCH(140,Itens!$M$2:$M$501,0))="","",INDEX(Itens!$K$2:$K$501,MATCH(140,Itens!$M$2:$M$501,0))),"")</f>
        <v/>
      </c>
      <c r="I152" s="17">
        <f>IFERROR(IF(INDEX(Itens!$L$2:$L$501,MATCH(140,Itens!$M$2:$M$501,0))="","",INDEX(Itens!$L$2:$L$501,MATCH(140,Itens!$M$2:$M$501,0))),"")</f>
        <v/>
      </c>
    </row>
    <row r="153">
      <c r="A153" s="17">
        <f>IFERROR(IF(INDEX(Itens!$A$2:$A$501,MATCH(141,Itens!$M$2:$M$501,0))="","",INDEX(Itens!$A$2:$A$501,MATCH(141,Itens!$M$2:$M$501,0))),"")</f>
        <v/>
      </c>
      <c r="B153" s="17">
        <f>IFERROR(IF(INDEX(Itens!$C$2:$C$501,MATCH(141,Itens!$M$2:$M$501,0))="","",INDEX(Itens!$C$2:$C$501,MATCH(141,Itens!$M$2:$M$501,0))),"")</f>
        <v/>
      </c>
      <c r="C153" s="17">
        <f>IFERROR(IF(INDEX(Itens!$E$2:$E$501,MATCH(141,Itens!$M$2:$M$501,0))="","",INDEX(Itens!$E$2:$E$501,MATCH(141,Itens!$M$2:$M$501,0))),"")</f>
        <v/>
      </c>
      <c r="D153" s="17">
        <f>IFERROR(IF(INDEX(Itens!$F$2:$F$501,MATCH(141,Itens!$M$2:$M$501,0))="","",INDEX(Itens!$F$2:$F$501,MATCH(141,Itens!$M$2:$M$501,0))),"")</f>
        <v/>
      </c>
      <c r="E153" s="17">
        <f>IFERROR(IF(INDEX(Itens!$G$2:$G$501,MATCH(141,Itens!$M$2:$M$501,0))="","",INDEX(Itens!$G$2:$G$501,MATCH(141,Itens!$M$2:$M$501,0))),"")</f>
        <v/>
      </c>
      <c r="F153" s="17">
        <f>IFERROR(IF(INDEX(Itens!$I$2:$I$501,MATCH(141,Itens!$M$2:$M$501,0))="","",INDEX(Itens!$I$2:$I$501,MATCH(141,Itens!$M$2:$M$501,0))),"")</f>
        <v/>
      </c>
      <c r="G153" s="17">
        <f>IFERROR(IF(INDEX(Itens!$J$2:$J$501,MATCH(141,Itens!$M$2:$M$501,0))="","",INDEX(Itens!$J$2:$J$501,MATCH(141,Itens!$M$2:$M$501,0))),"")</f>
        <v/>
      </c>
      <c r="H153" s="18">
        <f>IFERROR(IF(INDEX(Itens!$K$2:$K$501,MATCH(141,Itens!$M$2:$M$501,0))="","",INDEX(Itens!$K$2:$K$501,MATCH(141,Itens!$M$2:$M$501,0))),"")</f>
        <v/>
      </c>
      <c r="I153" s="17">
        <f>IFERROR(IF(INDEX(Itens!$L$2:$L$501,MATCH(141,Itens!$M$2:$M$501,0))="","",INDEX(Itens!$L$2:$L$501,MATCH(141,Itens!$M$2:$M$501,0))),"")</f>
        <v/>
      </c>
    </row>
    <row r="154">
      <c r="A154" s="17">
        <f>IFERROR(IF(INDEX(Itens!$A$2:$A$501,MATCH(142,Itens!$M$2:$M$501,0))="","",INDEX(Itens!$A$2:$A$501,MATCH(142,Itens!$M$2:$M$501,0))),"")</f>
        <v/>
      </c>
      <c r="B154" s="17">
        <f>IFERROR(IF(INDEX(Itens!$C$2:$C$501,MATCH(142,Itens!$M$2:$M$501,0))="","",INDEX(Itens!$C$2:$C$501,MATCH(142,Itens!$M$2:$M$501,0))),"")</f>
        <v/>
      </c>
      <c r="C154" s="17">
        <f>IFERROR(IF(INDEX(Itens!$E$2:$E$501,MATCH(142,Itens!$M$2:$M$501,0))="","",INDEX(Itens!$E$2:$E$501,MATCH(142,Itens!$M$2:$M$501,0))),"")</f>
        <v/>
      </c>
      <c r="D154" s="17">
        <f>IFERROR(IF(INDEX(Itens!$F$2:$F$501,MATCH(142,Itens!$M$2:$M$501,0))="","",INDEX(Itens!$F$2:$F$501,MATCH(142,Itens!$M$2:$M$501,0))),"")</f>
        <v/>
      </c>
      <c r="E154" s="17">
        <f>IFERROR(IF(INDEX(Itens!$G$2:$G$501,MATCH(142,Itens!$M$2:$M$501,0))="","",INDEX(Itens!$G$2:$G$501,MATCH(142,Itens!$M$2:$M$501,0))),"")</f>
        <v/>
      </c>
      <c r="F154" s="17">
        <f>IFERROR(IF(INDEX(Itens!$I$2:$I$501,MATCH(142,Itens!$M$2:$M$501,0))="","",INDEX(Itens!$I$2:$I$501,MATCH(142,Itens!$M$2:$M$501,0))),"")</f>
        <v/>
      </c>
      <c r="G154" s="17">
        <f>IFERROR(IF(INDEX(Itens!$J$2:$J$501,MATCH(142,Itens!$M$2:$M$501,0))="","",INDEX(Itens!$J$2:$J$501,MATCH(142,Itens!$M$2:$M$501,0))),"")</f>
        <v/>
      </c>
      <c r="H154" s="18">
        <f>IFERROR(IF(INDEX(Itens!$K$2:$K$501,MATCH(142,Itens!$M$2:$M$501,0))="","",INDEX(Itens!$K$2:$K$501,MATCH(142,Itens!$M$2:$M$501,0))),"")</f>
        <v/>
      </c>
      <c r="I154" s="17">
        <f>IFERROR(IF(INDEX(Itens!$L$2:$L$501,MATCH(142,Itens!$M$2:$M$501,0))="","",INDEX(Itens!$L$2:$L$501,MATCH(142,Itens!$M$2:$M$501,0))),"")</f>
        <v/>
      </c>
    </row>
    <row r="155">
      <c r="A155" s="17">
        <f>IFERROR(IF(INDEX(Itens!$A$2:$A$501,MATCH(143,Itens!$M$2:$M$501,0))="","",INDEX(Itens!$A$2:$A$501,MATCH(143,Itens!$M$2:$M$501,0))),"")</f>
        <v/>
      </c>
      <c r="B155" s="17">
        <f>IFERROR(IF(INDEX(Itens!$C$2:$C$501,MATCH(143,Itens!$M$2:$M$501,0))="","",INDEX(Itens!$C$2:$C$501,MATCH(143,Itens!$M$2:$M$501,0))),"")</f>
        <v/>
      </c>
      <c r="C155" s="17">
        <f>IFERROR(IF(INDEX(Itens!$E$2:$E$501,MATCH(143,Itens!$M$2:$M$501,0))="","",INDEX(Itens!$E$2:$E$501,MATCH(143,Itens!$M$2:$M$501,0))),"")</f>
        <v/>
      </c>
      <c r="D155" s="17">
        <f>IFERROR(IF(INDEX(Itens!$F$2:$F$501,MATCH(143,Itens!$M$2:$M$501,0))="","",INDEX(Itens!$F$2:$F$501,MATCH(143,Itens!$M$2:$M$501,0))),"")</f>
        <v/>
      </c>
      <c r="E155" s="17">
        <f>IFERROR(IF(INDEX(Itens!$G$2:$G$501,MATCH(143,Itens!$M$2:$M$501,0))="","",INDEX(Itens!$G$2:$G$501,MATCH(143,Itens!$M$2:$M$501,0))),"")</f>
        <v/>
      </c>
      <c r="F155" s="17">
        <f>IFERROR(IF(INDEX(Itens!$I$2:$I$501,MATCH(143,Itens!$M$2:$M$501,0))="","",INDEX(Itens!$I$2:$I$501,MATCH(143,Itens!$M$2:$M$501,0))),"")</f>
        <v/>
      </c>
      <c r="G155" s="17">
        <f>IFERROR(IF(INDEX(Itens!$J$2:$J$501,MATCH(143,Itens!$M$2:$M$501,0))="","",INDEX(Itens!$J$2:$J$501,MATCH(143,Itens!$M$2:$M$501,0))),"")</f>
        <v/>
      </c>
      <c r="H155" s="18">
        <f>IFERROR(IF(INDEX(Itens!$K$2:$K$501,MATCH(143,Itens!$M$2:$M$501,0))="","",INDEX(Itens!$K$2:$K$501,MATCH(143,Itens!$M$2:$M$501,0))),"")</f>
        <v/>
      </c>
      <c r="I155" s="17">
        <f>IFERROR(IF(INDEX(Itens!$L$2:$L$501,MATCH(143,Itens!$M$2:$M$501,0))="","",INDEX(Itens!$L$2:$L$501,MATCH(143,Itens!$M$2:$M$501,0))),"")</f>
        <v/>
      </c>
    </row>
    <row r="156">
      <c r="A156" s="17">
        <f>IFERROR(IF(INDEX(Itens!$A$2:$A$501,MATCH(144,Itens!$M$2:$M$501,0))="","",INDEX(Itens!$A$2:$A$501,MATCH(144,Itens!$M$2:$M$501,0))),"")</f>
        <v/>
      </c>
      <c r="B156" s="17">
        <f>IFERROR(IF(INDEX(Itens!$C$2:$C$501,MATCH(144,Itens!$M$2:$M$501,0))="","",INDEX(Itens!$C$2:$C$501,MATCH(144,Itens!$M$2:$M$501,0))),"")</f>
        <v/>
      </c>
      <c r="C156" s="17">
        <f>IFERROR(IF(INDEX(Itens!$E$2:$E$501,MATCH(144,Itens!$M$2:$M$501,0))="","",INDEX(Itens!$E$2:$E$501,MATCH(144,Itens!$M$2:$M$501,0))),"")</f>
        <v/>
      </c>
      <c r="D156" s="17">
        <f>IFERROR(IF(INDEX(Itens!$F$2:$F$501,MATCH(144,Itens!$M$2:$M$501,0))="","",INDEX(Itens!$F$2:$F$501,MATCH(144,Itens!$M$2:$M$501,0))),"")</f>
        <v/>
      </c>
      <c r="E156" s="17">
        <f>IFERROR(IF(INDEX(Itens!$G$2:$G$501,MATCH(144,Itens!$M$2:$M$501,0))="","",INDEX(Itens!$G$2:$G$501,MATCH(144,Itens!$M$2:$M$501,0))),"")</f>
        <v/>
      </c>
      <c r="F156" s="17">
        <f>IFERROR(IF(INDEX(Itens!$I$2:$I$501,MATCH(144,Itens!$M$2:$M$501,0))="","",INDEX(Itens!$I$2:$I$501,MATCH(144,Itens!$M$2:$M$501,0))),"")</f>
        <v/>
      </c>
      <c r="G156" s="17">
        <f>IFERROR(IF(INDEX(Itens!$J$2:$J$501,MATCH(144,Itens!$M$2:$M$501,0))="","",INDEX(Itens!$J$2:$J$501,MATCH(144,Itens!$M$2:$M$501,0))),"")</f>
        <v/>
      </c>
      <c r="H156" s="18">
        <f>IFERROR(IF(INDEX(Itens!$K$2:$K$501,MATCH(144,Itens!$M$2:$M$501,0))="","",INDEX(Itens!$K$2:$K$501,MATCH(144,Itens!$M$2:$M$501,0))),"")</f>
        <v/>
      </c>
      <c r="I156" s="17">
        <f>IFERROR(IF(INDEX(Itens!$L$2:$L$501,MATCH(144,Itens!$M$2:$M$501,0))="","",INDEX(Itens!$L$2:$L$501,MATCH(144,Itens!$M$2:$M$501,0))),"")</f>
        <v/>
      </c>
    </row>
    <row r="157">
      <c r="A157" s="17">
        <f>IFERROR(IF(INDEX(Itens!$A$2:$A$501,MATCH(145,Itens!$M$2:$M$501,0))="","",INDEX(Itens!$A$2:$A$501,MATCH(145,Itens!$M$2:$M$501,0))),"")</f>
        <v/>
      </c>
      <c r="B157" s="17">
        <f>IFERROR(IF(INDEX(Itens!$C$2:$C$501,MATCH(145,Itens!$M$2:$M$501,0))="","",INDEX(Itens!$C$2:$C$501,MATCH(145,Itens!$M$2:$M$501,0))),"")</f>
        <v/>
      </c>
      <c r="C157" s="17">
        <f>IFERROR(IF(INDEX(Itens!$E$2:$E$501,MATCH(145,Itens!$M$2:$M$501,0))="","",INDEX(Itens!$E$2:$E$501,MATCH(145,Itens!$M$2:$M$501,0))),"")</f>
        <v/>
      </c>
      <c r="D157" s="17">
        <f>IFERROR(IF(INDEX(Itens!$F$2:$F$501,MATCH(145,Itens!$M$2:$M$501,0))="","",INDEX(Itens!$F$2:$F$501,MATCH(145,Itens!$M$2:$M$501,0))),"")</f>
        <v/>
      </c>
      <c r="E157" s="17">
        <f>IFERROR(IF(INDEX(Itens!$G$2:$G$501,MATCH(145,Itens!$M$2:$M$501,0))="","",INDEX(Itens!$G$2:$G$501,MATCH(145,Itens!$M$2:$M$501,0))),"")</f>
        <v/>
      </c>
      <c r="F157" s="17">
        <f>IFERROR(IF(INDEX(Itens!$I$2:$I$501,MATCH(145,Itens!$M$2:$M$501,0))="","",INDEX(Itens!$I$2:$I$501,MATCH(145,Itens!$M$2:$M$501,0))),"")</f>
        <v/>
      </c>
      <c r="G157" s="17">
        <f>IFERROR(IF(INDEX(Itens!$J$2:$J$501,MATCH(145,Itens!$M$2:$M$501,0))="","",INDEX(Itens!$J$2:$J$501,MATCH(145,Itens!$M$2:$M$501,0))),"")</f>
        <v/>
      </c>
      <c r="H157" s="18">
        <f>IFERROR(IF(INDEX(Itens!$K$2:$K$501,MATCH(145,Itens!$M$2:$M$501,0))="","",INDEX(Itens!$K$2:$K$501,MATCH(145,Itens!$M$2:$M$501,0))),"")</f>
        <v/>
      </c>
      <c r="I157" s="17">
        <f>IFERROR(IF(INDEX(Itens!$L$2:$L$501,MATCH(145,Itens!$M$2:$M$501,0))="","",INDEX(Itens!$L$2:$L$501,MATCH(145,Itens!$M$2:$M$501,0))),"")</f>
        <v/>
      </c>
    </row>
    <row r="158">
      <c r="A158" s="17">
        <f>IFERROR(IF(INDEX(Itens!$A$2:$A$501,MATCH(146,Itens!$M$2:$M$501,0))="","",INDEX(Itens!$A$2:$A$501,MATCH(146,Itens!$M$2:$M$501,0))),"")</f>
        <v/>
      </c>
      <c r="B158" s="17">
        <f>IFERROR(IF(INDEX(Itens!$C$2:$C$501,MATCH(146,Itens!$M$2:$M$501,0))="","",INDEX(Itens!$C$2:$C$501,MATCH(146,Itens!$M$2:$M$501,0))),"")</f>
        <v/>
      </c>
      <c r="C158" s="17">
        <f>IFERROR(IF(INDEX(Itens!$E$2:$E$501,MATCH(146,Itens!$M$2:$M$501,0))="","",INDEX(Itens!$E$2:$E$501,MATCH(146,Itens!$M$2:$M$501,0))),"")</f>
        <v/>
      </c>
      <c r="D158" s="17">
        <f>IFERROR(IF(INDEX(Itens!$F$2:$F$501,MATCH(146,Itens!$M$2:$M$501,0))="","",INDEX(Itens!$F$2:$F$501,MATCH(146,Itens!$M$2:$M$501,0))),"")</f>
        <v/>
      </c>
      <c r="E158" s="17">
        <f>IFERROR(IF(INDEX(Itens!$G$2:$G$501,MATCH(146,Itens!$M$2:$M$501,0))="","",INDEX(Itens!$G$2:$G$501,MATCH(146,Itens!$M$2:$M$501,0))),"")</f>
        <v/>
      </c>
      <c r="F158" s="17">
        <f>IFERROR(IF(INDEX(Itens!$I$2:$I$501,MATCH(146,Itens!$M$2:$M$501,0))="","",INDEX(Itens!$I$2:$I$501,MATCH(146,Itens!$M$2:$M$501,0))),"")</f>
        <v/>
      </c>
      <c r="G158" s="17">
        <f>IFERROR(IF(INDEX(Itens!$J$2:$J$501,MATCH(146,Itens!$M$2:$M$501,0))="","",INDEX(Itens!$J$2:$J$501,MATCH(146,Itens!$M$2:$M$501,0))),"")</f>
        <v/>
      </c>
      <c r="H158" s="18">
        <f>IFERROR(IF(INDEX(Itens!$K$2:$K$501,MATCH(146,Itens!$M$2:$M$501,0))="","",INDEX(Itens!$K$2:$K$501,MATCH(146,Itens!$M$2:$M$501,0))),"")</f>
        <v/>
      </c>
      <c r="I158" s="17">
        <f>IFERROR(IF(INDEX(Itens!$L$2:$L$501,MATCH(146,Itens!$M$2:$M$501,0))="","",INDEX(Itens!$L$2:$L$501,MATCH(146,Itens!$M$2:$M$501,0))),"")</f>
        <v/>
      </c>
    </row>
    <row r="159">
      <c r="A159" s="17">
        <f>IFERROR(IF(INDEX(Itens!$A$2:$A$501,MATCH(147,Itens!$M$2:$M$501,0))="","",INDEX(Itens!$A$2:$A$501,MATCH(147,Itens!$M$2:$M$501,0))),"")</f>
        <v/>
      </c>
      <c r="B159" s="17">
        <f>IFERROR(IF(INDEX(Itens!$C$2:$C$501,MATCH(147,Itens!$M$2:$M$501,0))="","",INDEX(Itens!$C$2:$C$501,MATCH(147,Itens!$M$2:$M$501,0))),"")</f>
        <v/>
      </c>
      <c r="C159" s="17">
        <f>IFERROR(IF(INDEX(Itens!$E$2:$E$501,MATCH(147,Itens!$M$2:$M$501,0))="","",INDEX(Itens!$E$2:$E$501,MATCH(147,Itens!$M$2:$M$501,0))),"")</f>
        <v/>
      </c>
      <c r="D159" s="17">
        <f>IFERROR(IF(INDEX(Itens!$F$2:$F$501,MATCH(147,Itens!$M$2:$M$501,0))="","",INDEX(Itens!$F$2:$F$501,MATCH(147,Itens!$M$2:$M$501,0))),"")</f>
        <v/>
      </c>
      <c r="E159" s="17">
        <f>IFERROR(IF(INDEX(Itens!$G$2:$G$501,MATCH(147,Itens!$M$2:$M$501,0))="","",INDEX(Itens!$G$2:$G$501,MATCH(147,Itens!$M$2:$M$501,0))),"")</f>
        <v/>
      </c>
      <c r="F159" s="17">
        <f>IFERROR(IF(INDEX(Itens!$I$2:$I$501,MATCH(147,Itens!$M$2:$M$501,0))="","",INDEX(Itens!$I$2:$I$501,MATCH(147,Itens!$M$2:$M$501,0))),"")</f>
        <v/>
      </c>
      <c r="G159" s="17">
        <f>IFERROR(IF(INDEX(Itens!$J$2:$J$501,MATCH(147,Itens!$M$2:$M$501,0))="","",INDEX(Itens!$J$2:$J$501,MATCH(147,Itens!$M$2:$M$501,0))),"")</f>
        <v/>
      </c>
      <c r="H159" s="18">
        <f>IFERROR(IF(INDEX(Itens!$K$2:$K$501,MATCH(147,Itens!$M$2:$M$501,0))="","",INDEX(Itens!$K$2:$K$501,MATCH(147,Itens!$M$2:$M$501,0))),"")</f>
        <v/>
      </c>
      <c r="I159" s="17">
        <f>IFERROR(IF(INDEX(Itens!$L$2:$L$501,MATCH(147,Itens!$M$2:$M$501,0))="","",INDEX(Itens!$L$2:$L$501,MATCH(147,Itens!$M$2:$M$501,0))),"")</f>
        <v/>
      </c>
    </row>
    <row r="160">
      <c r="A160" s="17">
        <f>IFERROR(IF(INDEX(Itens!$A$2:$A$501,MATCH(148,Itens!$M$2:$M$501,0))="","",INDEX(Itens!$A$2:$A$501,MATCH(148,Itens!$M$2:$M$501,0))),"")</f>
        <v/>
      </c>
      <c r="B160" s="17">
        <f>IFERROR(IF(INDEX(Itens!$C$2:$C$501,MATCH(148,Itens!$M$2:$M$501,0))="","",INDEX(Itens!$C$2:$C$501,MATCH(148,Itens!$M$2:$M$501,0))),"")</f>
        <v/>
      </c>
      <c r="C160" s="17">
        <f>IFERROR(IF(INDEX(Itens!$E$2:$E$501,MATCH(148,Itens!$M$2:$M$501,0))="","",INDEX(Itens!$E$2:$E$501,MATCH(148,Itens!$M$2:$M$501,0))),"")</f>
        <v/>
      </c>
      <c r="D160" s="17">
        <f>IFERROR(IF(INDEX(Itens!$F$2:$F$501,MATCH(148,Itens!$M$2:$M$501,0))="","",INDEX(Itens!$F$2:$F$501,MATCH(148,Itens!$M$2:$M$501,0))),"")</f>
        <v/>
      </c>
      <c r="E160" s="17">
        <f>IFERROR(IF(INDEX(Itens!$G$2:$G$501,MATCH(148,Itens!$M$2:$M$501,0))="","",INDEX(Itens!$G$2:$G$501,MATCH(148,Itens!$M$2:$M$501,0))),"")</f>
        <v/>
      </c>
      <c r="F160" s="17">
        <f>IFERROR(IF(INDEX(Itens!$I$2:$I$501,MATCH(148,Itens!$M$2:$M$501,0))="","",INDEX(Itens!$I$2:$I$501,MATCH(148,Itens!$M$2:$M$501,0))),"")</f>
        <v/>
      </c>
      <c r="G160" s="17">
        <f>IFERROR(IF(INDEX(Itens!$J$2:$J$501,MATCH(148,Itens!$M$2:$M$501,0))="","",INDEX(Itens!$J$2:$J$501,MATCH(148,Itens!$M$2:$M$501,0))),"")</f>
        <v/>
      </c>
      <c r="H160" s="18">
        <f>IFERROR(IF(INDEX(Itens!$K$2:$K$501,MATCH(148,Itens!$M$2:$M$501,0))="","",INDEX(Itens!$K$2:$K$501,MATCH(148,Itens!$M$2:$M$501,0))),"")</f>
        <v/>
      </c>
      <c r="I160" s="17">
        <f>IFERROR(IF(INDEX(Itens!$L$2:$L$501,MATCH(148,Itens!$M$2:$M$501,0))="","",INDEX(Itens!$L$2:$L$501,MATCH(148,Itens!$M$2:$M$501,0))),"")</f>
        <v/>
      </c>
    </row>
    <row r="161">
      <c r="A161" s="17">
        <f>IFERROR(IF(INDEX(Itens!$A$2:$A$501,MATCH(149,Itens!$M$2:$M$501,0))="","",INDEX(Itens!$A$2:$A$501,MATCH(149,Itens!$M$2:$M$501,0))),"")</f>
        <v/>
      </c>
      <c r="B161" s="17">
        <f>IFERROR(IF(INDEX(Itens!$C$2:$C$501,MATCH(149,Itens!$M$2:$M$501,0))="","",INDEX(Itens!$C$2:$C$501,MATCH(149,Itens!$M$2:$M$501,0))),"")</f>
        <v/>
      </c>
      <c r="C161" s="17">
        <f>IFERROR(IF(INDEX(Itens!$E$2:$E$501,MATCH(149,Itens!$M$2:$M$501,0))="","",INDEX(Itens!$E$2:$E$501,MATCH(149,Itens!$M$2:$M$501,0))),"")</f>
        <v/>
      </c>
      <c r="D161" s="17">
        <f>IFERROR(IF(INDEX(Itens!$F$2:$F$501,MATCH(149,Itens!$M$2:$M$501,0))="","",INDEX(Itens!$F$2:$F$501,MATCH(149,Itens!$M$2:$M$501,0))),"")</f>
        <v/>
      </c>
      <c r="E161" s="17">
        <f>IFERROR(IF(INDEX(Itens!$G$2:$G$501,MATCH(149,Itens!$M$2:$M$501,0))="","",INDEX(Itens!$G$2:$G$501,MATCH(149,Itens!$M$2:$M$501,0))),"")</f>
        <v/>
      </c>
      <c r="F161" s="17">
        <f>IFERROR(IF(INDEX(Itens!$I$2:$I$501,MATCH(149,Itens!$M$2:$M$501,0))="","",INDEX(Itens!$I$2:$I$501,MATCH(149,Itens!$M$2:$M$501,0))),"")</f>
        <v/>
      </c>
      <c r="G161" s="17">
        <f>IFERROR(IF(INDEX(Itens!$J$2:$J$501,MATCH(149,Itens!$M$2:$M$501,0))="","",INDEX(Itens!$J$2:$J$501,MATCH(149,Itens!$M$2:$M$501,0))),"")</f>
        <v/>
      </c>
      <c r="H161" s="18">
        <f>IFERROR(IF(INDEX(Itens!$K$2:$K$501,MATCH(149,Itens!$M$2:$M$501,0))="","",INDEX(Itens!$K$2:$K$501,MATCH(149,Itens!$M$2:$M$501,0))),"")</f>
        <v/>
      </c>
      <c r="I161" s="17">
        <f>IFERROR(IF(INDEX(Itens!$L$2:$L$501,MATCH(149,Itens!$M$2:$M$501,0))="","",INDEX(Itens!$L$2:$L$501,MATCH(149,Itens!$M$2:$M$501,0))),"")</f>
        <v/>
      </c>
    </row>
    <row r="162">
      <c r="A162" s="17">
        <f>IFERROR(IF(INDEX(Itens!$A$2:$A$501,MATCH(150,Itens!$M$2:$M$501,0))="","",INDEX(Itens!$A$2:$A$501,MATCH(150,Itens!$M$2:$M$501,0))),"")</f>
        <v/>
      </c>
      <c r="B162" s="17">
        <f>IFERROR(IF(INDEX(Itens!$C$2:$C$501,MATCH(150,Itens!$M$2:$M$501,0))="","",INDEX(Itens!$C$2:$C$501,MATCH(150,Itens!$M$2:$M$501,0))),"")</f>
        <v/>
      </c>
      <c r="C162" s="17">
        <f>IFERROR(IF(INDEX(Itens!$E$2:$E$501,MATCH(150,Itens!$M$2:$M$501,0))="","",INDEX(Itens!$E$2:$E$501,MATCH(150,Itens!$M$2:$M$501,0))),"")</f>
        <v/>
      </c>
      <c r="D162" s="17">
        <f>IFERROR(IF(INDEX(Itens!$F$2:$F$501,MATCH(150,Itens!$M$2:$M$501,0))="","",INDEX(Itens!$F$2:$F$501,MATCH(150,Itens!$M$2:$M$501,0))),"")</f>
        <v/>
      </c>
      <c r="E162" s="17">
        <f>IFERROR(IF(INDEX(Itens!$G$2:$G$501,MATCH(150,Itens!$M$2:$M$501,0))="","",INDEX(Itens!$G$2:$G$501,MATCH(150,Itens!$M$2:$M$501,0))),"")</f>
        <v/>
      </c>
      <c r="F162" s="17">
        <f>IFERROR(IF(INDEX(Itens!$I$2:$I$501,MATCH(150,Itens!$M$2:$M$501,0))="","",INDEX(Itens!$I$2:$I$501,MATCH(150,Itens!$M$2:$M$501,0))),"")</f>
        <v/>
      </c>
      <c r="G162" s="17">
        <f>IFERROR(IF(INDEX(Itens!$J$2:$J$501,MATCH(150,Itens!$M$2:$M$501,0))="","",INDEX(Itens!$J$2:$J$501,MATCH(150,Itens!$M$2:$M$501,0))),"")</f>
        <v/>
      </c>
      <c r="H162" s="18">
        <f>IFERROR(IF(INDEX(Itens!$K$2:$K$501,MATCH(150,Itens!$M$2:$M$501,0))="","",INDEX(Itens!$K$2:$K$501,MATCH(150,Itens!$M$2:$M$501,0))),"")</f>
        <v/>
      </c>
      <c r="I162" s="17">
        <f>IFERROR(IF(INDEX(Itens!$L$2:$L$501,MATCH(150,Itens!$M$2:$M$501,0))="","",INDEX(Itens!$L$2:$L$501,MATCH(150,Itens!$M$2:$M$501,0))),"")</f>
        <v/>
      </c>
    </row>
    <row r="163">
      <c r="A163" s="17">
        <f>IFERROR(IF(INDEX(Itens!$A$2:$A$501,MATCH(151,Itens!$M$2:$M$501,0))="","",INDEX(Itens!$A$2:$A$501,MATCH(151,Itens!$M$2:$M$501,0))),"")</f>
        <v/>
      </c>
      <c r="B163" s="17">
        <f>IFERROR(IF(INDEX(Itens!$C$2:$C$501,MATCH(151,Itens!$M$2:$M$501,0))="","",INDEX(Itens!$C$2:$C$501,MATCH(151,Itens!$M$2:$M$501,0))),"")</f>
        <v/>
      </c>
      <c r="C163" s="17">
        <f>IFERROR(IF(INDEX(Itens!$E$2:$E$501,MATCH(151,Itens!$M$2:$M$501,0))="","",INDEX(Itens!$E$2:$E$501,MATCH(151,Itens!$M$2:$M$501,0))),"")</f>
        <v/>
      </c>
      <c r="D163" s="17">
        <f>IFERROR(IF(INDEX(Itens!$F$2:$F$501,MATCH(151,Itens!$M$2:$M$501,0))="","",INDEX(Itens!$F$2:$F$501,MATCH(151,Itens!$M$2:$M$501,0))),"")</f>
        <v/>
      </c>
      <c r="E163" s="17">
        <f>IFERROR(IF(INDEX(Itens!$G$2:$G$501,MATCH(151,Itens!$M$2:$M$501,0))="","",INDEX(Itens!$G$2:$G$501,MATCH(151,Itens!$M$2:$M$501,0))),"")</f>
        <v/>
      </c>
      <c r="F163" s="17">
        <f>IFERROR(IF(INDEX(Itens!$I$2:$I$501,MATCH(151,Itens!$M$2:$M$501,0))="","",INDEX(Itens!$I$2:$I$501,MATCH(151,Itens!$M$2:$M$501,0))),"")</f>
        <v/>
      </c>
      <c r="G163" s="17">
        <f>IFERROR(IF(INDEX(Itens!$J$2:$J$501,MATCH(151,Itens!$M$2:$M$501,0))="","",INDEX(Itens!$J$2:$J$501,MATCH(151,Itens!$M$2:$M$501,0))),"")</f>
        <v/>
      </c>
      <c r="H163" s="18">
        <f>IFERROR(IF(INDEX(Itens!$K$2:$K$501,MATCH(151,Itens!$M$2:$M$501,0))="","",INDEX(Itens!$K$2:$K$501,MATCH(151,Itens!$M$2:$M$501,0))),"")</f>
        <v/>
      </c>
      <c r="I163" s="17">
        <f>IFERROR(IF(INDEX(Itens!$L$2:$L$501,MATCH(151,Itens!$M$2:$M$501,0))="","",INDEX(Itens!$L$2:$L$501,MATCH(151,Itens!$M$2:$M$501,0))),"")</f>
        <v/>
      </c>
    </row>
    <row r="164">
      <c r="A164" s="17">
        <f>IFERROR(IF(INDEX(Itens!$A$2:$A$501,MATCH(152,Itens!$M$2:$M$501,0))="","",INDEX(Itens!$A$2:$A$501,MATCH(152,Itens!$M$2:$M$501,0))),"")</f>
        <v/>
      </c>
      <c r="B164" s="17">
        <f>IFERROR(IF(INDEX(Itens!$C$2:$C$501,MATCH(152,Itens!$M$2:$M$501,0))="","",INDEX(Itens!$C$2:$C$501,MATCH(152,Itens!$M$2:$M$501,0))),"")</f>
        <v/>
      </c>
      <c r="C164" s="17">
        <f>IFERROR(IF(INDEX(Itens!$E$2:$E$501,MATCH(152,Itens!$M$2:$M$501,0))="","",INDEX(Itens!$E$2:$E$501,MATCH(152,Itens!$M$2:$M$501,0))),"")</f>
        <v/>
      </c>
      <c r="D164" s="17">
        <f>IFERROR(IF(INDEX(Itens!$F$2:$F$501,MATCH(152,Itens!$M$2:$M$501,0))="","",INDEX(Itens!$F$2:$F$501,MATCH(152,Itens!$M$2:$M$501,0))),"")</f>
        <v/>
      </c>
      <c r="E164" s="17">
        <f>IFERROR(IF(INDEX(Itens!$G$2:$G$501,MATCH(152,Itens!$M$2:$M$501,0))="","",INDEX(Itens!$G$2:$G$501,MATCH(152,Itens!$M$2:$M$501,0))),"")</f>
        <v/>
      </c>
      <c r="F164" s="17">
        <f>IFERROR(IF(INDEX(Itens!$I$2:$I$501,MATCH(152,Itens!$M$2:$M$501,0))="","",INDEX(Itens!$I$2:$I$501,MATCH(152,Itens!$M$2:$M$501,0))),"")</f>
        <v/>
      </c>
      <c r="G164" s="17">
        <f>IFERROR(IF(INDEX(Itens!$J$2:$J$501,MATCH(152,Itens!$M$2:$M$501,0))="","",INDEX(Itens!$J$2:$J$501,MATCH(152,Itens!$M$2:$M$501,0))),"")</f>
        <v/>
      </c>
      <c r="H164" s="18">
        <f>IFERROR(IF(INDEX(Itens!$K$2:$K$501,MATCH(152,Itens!$M$2:$M$501,0))="","",INDEX(Itens!$K$2:$K$501,MATCH(152,Itens!$M$2:$M$501,0))),"")</f>
        <v/>
      </c>
      <c r="I164" s="17">
        <f>IFERROR(IF(INDEX(Itens!$L$2:$L$501,MATCH(152,Itens!$M$2:$M$501,0))="","",INDEX(Itens!$L$2:$L$501,MATCH(152,Itens!$M$2:$M$501,0))),"")</f>
        <v/>
      </c>
    </row>
    <row r="165">
      <c r="A165" s="17">
        <f>IFERROR(IF(INDEX(Itens!$A$2:$A$501,MATCH(153,Itens!$M$2:$M$501,0))="","",INDEX(Itens!$A$2:$A$501,MATCH(153,Itens!$M$2:$M$501,0))),"")</f>
        <v/>
      </c>
      <c r="B165" s="17">
        <f>IFERROR(IF(INDEX(Itens!$C$2:$C$501,MATCH(153,Itens!$M$2:$M$501,0))="","",INDEX(Itens!$C$2:$C$501,MATCH(153,Itens!$M$2:$M$501,0))),"")</f>
        <v/>
      </c>
      <c r="C165" s="17">
        <f>IFERROR(IF(INDEX(Itens!$E$2:$E$501,MATCH(153,Itens!$M$2:$M$501,0))="","",INDEX(Itens!$E$2:$E$501,MATCH(153,Itens!$M$2:$M$501,0))),"")</f>
        <v/>
      </c>
      <c r="D165" s="17">
        <f>IFERROR(IF(INDEX(Itens!$F$2:$F$501,MATCH(153,Itens!$M$2:$M$501,0))="","",INDEX(Itens!$F$2:$F$501,MATCH(153,Itens!$M$2:$M$501,0))),"")</f>
        <v/>
      </c>
      <c r="E165" s="17">
        <f>IFERROR(IF(INDEX(Itens!$G$2:$G$501,MATCH(153,Itens!$M$2:$M$501,0))="","",INDEX(Itens!$G$2:$G$501,MATCH(153,Itens!$M$2:$M$501,0))),"")</f>
        <v/>
      </c>
      <c r="F165" s="17">
        <f>IFERROR(IF(INDEX(Itens!$I$2:$I$501,MATCH(153,Itens!$M$2:$M$501,0))="","",INDEX(Itens!$I$2:$I$501,MATCH(153,Itens!$M$2:$M$501,0))),"")</f>
        <v/>
      </c>
      <c r="G165" s="17">
        <f>IFERROR(IF(INDEX(Itens!$J$2:$J$501,MATCH(153,Itens!$M$2:$M$501,0))="","",INDEX(Itens!$J$2:$J$501,MATCH(153,Itens!$M$2:$M$501,0))),"")</f>
        <v/>
      </c>
      <c r="H165" s="18">
        <f>IFERROR(IF(INDEX(Itens!$K$2:$K$501,MATCH(153,Itens!$M$2:$M$501,0))="","",INDEX(Itens!$K$2:$K$501,MATCH(153,Itens!$M$2:$M$501,0))),"")</f>
        <v/>
      </c>
      <c r="I165" s="17">
        <f>IFERROR(IF(INDEX(Itens!$L$2:$L$501,MATCH(153,Itens!$M$2:$M$501,0))="","",INDEX(Itens!$L$2:$L$501,MATCH(153,Itens!$M$2:$M$501,0))),"")</f>
        <v/>
      </c>
    </row>
    <row r="166">
      <c r="A166" s="17">
        <f>IFERROR(IF(INDEX(Itens!$A$2:$A$501,MATCH(154,Itens!$M$2:$M$501,0))="","",INDEX(Itens!$A$2:$A$501,MATCH(154,Itens!$M$2:$M$501,0))),"")</f>
        <v/>
      </c>
      <c r="B166" s="17">
        <f>IFERROR(IF(INDEX(Itens!$C$2:$C$501,MATCH(154,Itens!$M$2:$M$501,0))="","",INDEX(Itens!$C$2:$C$501,MATCH(154,Itens!$M$2:$M$501,0))),"")</f>
        <v/>
      </c>
      <c r="C166" s="17">
        <f>IFERROR(IF(INDEX(Itens!$E$2:$E$501,MATCH(154,Itens!$M$2:$M$501,0))="","",INDEX(Itens!$E$2:$E$501,MATCH(154,Itens!$M$2:$M$501,0))),"")</f>
        <v/>
      </c>
      <c r="D166" s="17">
        <f>IFERROR(IF(INDEX(Itens!$F$2:$F$501,MATCH(154,Itens!$M$2:$M$501,0))="","",INDEX(Itens!$F$2:$F$501,MATCH(154,Itens!$M$2:$M$501,0))),"")</f>
        <v/>
      </c>
      <c r="E166" s="17">
        <f>IFERROR(IF(INDEX(Itens!$G$2:$G$501,MATCH(154,Itens!$M$2:$M$501,0))="","",INDEX(Itens!$G$2:$G$501,MATCH(154,Itens!$M$2:$M$501,0))),"")</f>
        <v/>
      </c>
      <c r="F166" s="17">
        <f>IFERROR(IF(INDEX(Itens!$I$2:$I$501,MATCH(154,Itens!$M$2:$M$501,0))="","",INDEX(Itens!$I$2:$I$501,MATCH(154,Itens!$M$2:$M$501,0))),"")</f>
        <v/>
      </c>
      <c r="G166" s="17">
        <f>IFERROR(IF(INDEX(Itens!$J$2:$J$501,MATCH(154,Itens!$M$2:$M$501,0))="","",INDEX(Itens!$J$2:$J$501,MATCH(154,Itens!$M$2:$M$501,0))),"")</f>
        <v/>
      </c>
      <c r="H166" s="18">
        <f>IFERROR(IF(INDEX(Itens!$K$2:$K$501,MATCH(154,Itens!$M$2:$M$501,0))="","",INDEX(Itens!$K$2:$K$501,MATCH(154,Itens!$M$2:$M$501,0))),"")</f>
        <v/>
      </c>
      <c r="I166" s="17">
        <f>IFERROR(IF(INDEX(Itens!$L$2:$L$501,MATCH(154,Itens!$M$2:$M$501,0))="","",INDEX(Itens!$L$2:$L$501,MATCH(154,Itens!$M$2:$M$501,0))),"")</f>
        <v/>
      </c>
    </row>
    <row r="167">
      <c r="A167" s="17">
        <f>IFERROR(IF(INDEX(Itens!$A$2:$A$501,MATCH(155,Itens!$M$2:$M$501,0))="","",INDEX(Itens!$A$2:$A$501,MATCH(155,Itens!$M$2:$M$501,0))),"")</f>
        <v/>
      </c>
      <c r="B167" s="17">
        <f>IFERROR(IF(INDEX(Itens!$C$2:$C$501,MATCH(155,Itens!$M$2:$M$501,0))="","",INDEX(Itens!$C$2:$C$501,MATCH(155,Itens!$M$2:$M$501,0))),"")</f>
        <v/>
      </c>
      <c r="C167" s="17">
        <f>IFERROR(IF(INDEX(Itens!$E$2:$E$501,MATCH(155,Itens!$M$2:$M$501,0))="","",INDEX(Itens!$E$2:$E$501,MATCH(155,Itens!$M$2:$M$501,0))),"")</f>
        <v/>
      </c>
      <c r="D167" s="17">
        <f>IFERROR(IF(INDEX(Itens!$F$2:$F$501,MATCH(155,Itens!$M$2:$M$501,0))="","",INDEX(Itens!$F$2:$F$501,MATCH(155,Itens!$M$2:$M$501,0))),"")</f>
        <v/>
      </c>
      <c r="E167" s="17">
        <f>IFERROR(IF(INDEX(Itens!$G$2:$G$501,MATCH(155,Itens!$M$2:$M$501,0))="","",INDEX(Itens!$G$2:$G$501,MATCH(155,Itens!$M$2:$M$501,0))),"")</f>
        <v/>
      </c>
      <c r="F167" s="17">
        <f>IFERROR(IF(INDEX(Itens!$I$2:$I$501,MATCH(155,Itens!$M$2:$M$501,0))="","",INDEX(Itens!$I$2:$I$501,MATCH(155,Itens!$M$2:$M$501,0))),"")</f>
        <v/>
      </c>
      <c r="G167" s="17">
        <f>IFERROR(IF(INDEX(Itens!$J$2:$J$501,MATCH(155,Itens!$M$2:$M$501,0))="","",INDEX(Itens!$J$2:$J$501,MATCH(155,Itens!$M$2:$M$501,0))),"")</f>
        <v/>
      </c>
      <c r="H167" s="18">
        <f>IFERROR(IF(INDEX(Itens!$K$2:$K$501,MATCH(155,Itens!$M$2:$M$501,0))="","",INDEX(Itens!$K$2:$K$501,MATCH(155,Itens!$M$2:$M$501,0))),"")</f>
        <v/>
      </c>
      <c r="I167" s="17">
        <f>IFERROR(IF(INDEX(Itens!$L$2:$L$501,MATCH(155,Itens!$M$2:$M$501,0))="","",INDEX(Itens!$L$2:$L$501,MATCH(155,Itens!$M$2:$M$501,0))),"")</f>
        <v/>
      </c>
    </row>
    <row r="168">
      <c r="A168" s="17">
        <f>IFERROR(IF(INDEX(Itens!$A$2:$A$501,MATCH(156,Itens!$M$2:$M$501,0))="","",INDEX(Itens!$A$2:$A$501,MATCH(156,Itens!$M$2:$M$501,0))),"")</f>
        <v/>
      </c>
      <c r="B168" s="17">
        <f>IFERROR(IF(INDEX(Itens!$C$2:$C$501,MATCH(156,Itens!$M$2:$M$501,0))="","",INDEX(Itens!$C$2:$C$501,MATCH(156,Itens!$M$2:$M$501,0))),"")</f>
        <v/>
      </c>
      <c r="C168" s="17">
        <f>IFERROR(IF(INDEX(Itens!$E$2:$E$501,MATCH(156,Itens!$M$2:$M$501,0))="","",INDEX(Itens!$E$2:$E$501,MATCH(156,Itens!$M$2:$M$501,0))),"")</f>
        <v/>
      </c>
      <c r="D168" s="17">
        <f>IFERROR(IF(INDEX(Itens!$F$2:$F$501,MATCH(156,Itens!$M$2:$M$501,0))="","",INDEX(Itens!$F$2:$F$501,MATCH(156,Itens!$M$2:$M$501,0))),"")</f>
        <v/>
      </c>
      <c r="E168" s="17">
        <f>IFERROR(IF(INDEX(Itens!$G$2:$G$501,MATCH(156,Itens!$M$2:$M$501,0))="","",INDEX(Itens!$G$2:$G$501,MATCH(156,Itens!$M$2:$M$501,0))),"")</f>
        <v/>
      </c>
      <c r="F168" s="17">
        <f>IFERROR(IF(INDEX(Itens!$I$2:$I$501,MATCH(156,Itens!$M$2:$M$501,0))="","",INDEX(Itens!$I$2:$I$501,MATCH(156,Itens!$M$2:$M$501,0))),"")</f>
        <v/>
      </c>
      <c r="G168" s="17">
        <f>IFERROR(IF(INDEX(Itens!$J$2:$J$501,MATCH(156,Itens!$M$2:$M$501,0))="","",INDEX(Itens!$J$2:$J$501,MATCH(156,Itens!$M$2:$M$501,0))),"")</f>
        <v/>
      </c>
      <c r="H168" s="18">
        <f>IFERROR(IF(INDEX(Itens!$K$2:$K$501,MATCH(156,Itens!$M$2:$M$501,0))="","",INDEX(Itens!$K$2:$K$501,MATCH(156,Itens!$M$2:$M$501,0))),"")</f>
        <v/>
      </c>
      <c r="I168" s="17">
        <f>IFERROR(IF(INDEX(Itens!$L$2:$L$501,MATCH(156,Itens!$M$2:$M$501,0))="","",INDEX(Itens!$L$2:$L$501,MATCH(156,Itens!$M$2:$M$501,0))),"")</f>
        <v/>
      </c>
    </row>
    <row r="169">
      <c r="A169" s="17">
        <f>IFERROR(IF(INDEX(Itens!$A$2:$A$501,MATCH(157,Itens!$M$2:$M$501,0))="","",INDEX(Itens!$A$2:$A$501,MATCH(157,Itens!$M$2:$M$501,0))),"")</f>
        <v/>
      </c>
      <c r="B169" s="17">
        <f>IFERROR(IF(INDEX(Itens!$C$2:$C$501,MATCH(157,Itens!$M$2:$M$501,0))="","",INDEX(Itens!$C$2:$C$501,MATCH(157,Itens!$M$2:$M$501,0))),"")</f>
        <v/>
      </c>
      <c r="C169" s="17">
        <f>IFERROR(IF(INDEX(Itens!$E$2:$E$501,MATCH(157,Itens!$M$2:$M$501,0))="","",INDEX(Itens!$E$2:$E$501,MATCH(157,Itens!$M$2:$M$501,0))),"")</f>
        <v/>
      </c>
      <c r="D169" s="17">
        <f>IFERROR(IF(INDEX(Itens!$F$2:$F$501,MATCH(157,Itens!$M$2:$M$501,0))="","",INDEX(Itens!$F$2:$F$501,MATCH(157,Itens!$M$2:$M$501,0))),"")</f>
        <v/>
      </c>
      <c r="E169" s="17">
        <f>IFERROR(IF(INDEX(Itens!$G$2:$G$501,MATCH(157,Itens!$M$2:$M$501,0))="","",INDEX(Itens!$G$2:$G$501,MATCH(157,Itens!$M$2:$M$501,0))),"")</f>
        <v/>
      </c>
      <c r="F169" s="17">
        <f>IFERROR(IF(INDEX(Itens!$I$2:$I$501,MATCH(157,Itens!$M$2:$M$501,0))="","",INDEX(Itens!$I$2:$I$501,MATCH(157,Itens!$M$2:$M$501,0))),"")</f>
        <v/>
      </c>
      <c r="G169" s="17">
        <f>IFERROR(IF(INDEX(Itens!$J$2:$J$501,MATCH(157,Itens!$M$2:$M$501,0))="","",INDEX(Itens!$J$2:$J$501,MATCH(157,Itens!$M$2:$M$501,0))),"")</f>
        <v/>
      </c>
      <c r="H169" s="18">
        <f>IFERROR(IF(INDEX(Itens!$K$2:$K$501,MATCH(157,Itens!$M$2:$M$501,0))="","",INDEX(Itens!$K$2:$K$501,MATCH(157,Itens!$M$2:$M$501,0))),"")</f>
        <v/>
      </c>
      <c r="I169" s="17">
        <f>IFERROR(IF(INDEX(Itens!$L$2:$L$501,MATCH(157,Itens!$M$2:$M$501,0))="","",INDEX(Itens!$L$2:$L$501,MATCH(157,Itens!$M$2:$M$501,0))),"")</f>
        <v/>
      </c>
    </row>
    <row r="170">
      <c r="A170" s="17">
        <f>IFERROR(IF(INDEX(Itens!$A$2:$A$501,MATCH(158,Itens!$M$2:$M$501,0))="","",INDEX(Itens!$A$2:$A$501,MATCH(158,Itens!$M$2:$M$501,0))),"")</f>
        <v/>
      </c>
      <c r="B170" s="17">
        <f>IFERROR(IF(INDEX(Itens!$C$2:$C$501,MATCH(158,Itens!$M$2:$M$501,0))="","",INDEX(Itens!$C$2:$C$501,MATCH(158,Itens!$M$2:$M$501,0))),"")</f>
        <v/>
      </c>
      <c r="C170" s="17">
        <f>IFERROR(IF(INDEX(Itens!$E$2:$E$501,MATCH(158,Itens!$M$2:$M$501,0))="","",INDEX(Itens!$E$2:$E$501,MATCH(158,Itens!$M$2:$M$501,0))),"")</f>
        <v/>
      </c>
      <c r="D170" s="17">
        <f>IFERROR(IF(INDEX(Itens!$F$2:$F$501,MATCH(158,Itens!$M$2:$M$501,0))="","",INDEX(Itens!$F$2:$F$501,MATCH(158,Itens!$M$2:$M$501,0))),"")</f>
        <v/>
      </c>
      <c r="E170" s="17">
        <f>IFERROR(IF(INDEX(Itens!$G$2:$G$501,MATCH(158,Itens!$M$2:$M$501,0))="","",INDEX(Itens!$G$2:$G$501,MATCH(158,Itens!$M$2:$M$501,0))),"")</f>
        <v/>
      </c>
      <c r="F170" s="17">
        <f>IFERROR(IF(INDEX(Itens!$I$2:$I$501,MATCH(158,Itens!$M$2:$M$501,0))="","",INDEX(Itens!$I$2:$I$501,MATCH(158,Itens!$M$2:$M$501,0))),"")</f>
        <v/>
      </c>
      <c r="G170" s="17">
        <f>IFERROR(IF(INDEX(Itens!$J$2:$J$501,MATCH(158,Itens!$M$2:$M$501,0))="","",INDEX(Itens!$J$2:$J$501,MATCH(158,Itens!$M$2:$M$501,0))),"")</f>
        <v/>
      </c>
      <c r="H170" s="18">
        <f>IFERROR(IF(INDEX(Itens!$K$2:$K$501,MATCH(158,Itens!$M$2:$M$501,0))="","",INDEX(Itens!$K$2:$K$501,MATCH(158,Itens!$M$2:$M$501,0))),"")</f>
        <v/>
      </c>
      <c r="I170" s="17">
        <f>IFERROR(IF(INDEX(Itens!$L$2:$L$501,MATCH(158,Itens!$M$2:$M$501,0))="","",INDEX(Itens!$L$2:$L$501,MATCH(158,Itens!$M$2:$M$501,0))),"")</f>
        <v/>
      </c>
    </row>
    <row r="171">
      <c r="A171" s="17">
        <f>IFERROR(IF(INDEX(Itens!$A$2:$A$501,MATCH(159,Itens!$M$2:$M$501,0))="","",INDEX(Itens!$A$2:$A$501,MATCH(159,Itens!$M$2:$M$501,0))),"")</f>
        <v/>
      </c>
      <c r="B171" s="17">
        <f>IFERROR(IF(INDEX(Itens!$C$2:$C$501,MATCH(159,Itens!$M$2:$M$501,0))="","",INDEX(Itens!$C$2:$C$501,MATCH(159,Itens!$M$2:$M$501,0))),"")</f>
        <v/>
      </c>
      <c r="C171" s="17">
        <f>IFERROR(IF(INDEX(Itens!$E$2:$E$501,MATCH(159,Itens!$M$2:$M$501,0))="","",INDEX(Itens!$E$2:$E$501,MATCH(159,Itens!$M$2:$M$501,0))),"")</f>
        <v/>
      </c>
      <c r="D171" s="17">
        <f>IFERROR(IF(INDEX(Itens!$F$2:$F$501,MATCH(159,Itens!$M$2:$M$501,0))="","",INDEX(Itens!$F$2:$F$501,MATCH(159,Itens!$M$2:$M$501,0))),"")</f>
        <v/>
      </c>
      <c r="E171" s="17">
        <f>IFERROR(IF(INDEX(Itens!$G$2:$G$501,MATCH(159,Itens!$M$2:$M$501,0))="","",INDEX(Itens!$G$2:$G$501,MATCH(159,Itens!$M$2:$M$501,0))),"")</f>
        <v/>
      </c>
      <c r="F171" s="17">
        <f>IFERROR(IF(INDEX(Itens!$I$2:$I$501,MATCH(159,Itens!$M$2:$M$501,0))="","",INDEX(Itens!$I$2:$I$501,MATCH(159,Itens!$M$2:$M$501,0))),"")</f>
        <v/>
      </c>
      <c r="G171" s="17">
        <f>IFERROR(IF(INDEX(Itens!$J$2:$J$501,MATCH(159,Itens!$M$2:$M$501,0))="","",INDEX(Itens!$J$2:$J$501,MATCH(159,Itens!$M$2:$M$501,0))),"")</f>
        <v/>
      </c>
      <c r="H171" s="18">
        <f>IFERROR(IF(INDEX(Itens!$K$2:$K$501,MATCH(159,Itens!$M$2:$M$501,0))="","",INDEX(Itens!$K$2:$K$501,MATCH(159,Itens!$M$2:$M$501,0))),"")</f>
        <v/>
      </c>
      <c r="I171" s="17">
        <f>IFERROR(IF(INDEX(Itens!$L$2:$L$501,MATCH(159,Itens!$M$2:$M$501,0))="","",INDEX(Itens!$L$2:$L$501,MATCH(159,Itens!$M$2:$M$501,0))),"")</f>
        <v/>
      </c>
    </row>
    <row r="172">
      <c r="A172" s="17">
        <f>IFERROR(IF(INDEX(Itens!$A$2:$A$501,MATCH(160,Itens!$M$2:$M$501,0))="","",INDEX(Itens!$A$2:$A$501,MATCH(160,Itens!$M$2:$M$501,0))),"")</f>
        <v/>
      </c>
      <c r="B172" s="17">
        <f>IFERROR(IF(INDEX(Itens!$C$2:$C$501,MATCH(160,Itens!$M$2:$M$501,0))="","",INDEX(Itens!$C$2:$C$501,MATCH(160,Itens!$M$2:$M$501,0))),"")</f>
        <v/>
      </c>
      <c r="C172" s="17">
        <f>IFERROR(IF(INDEX(Itens!$E$2:$E$501,MATCH(160,Itens!$M$2:$M$501,0))="","",INDEX(Itens!$E$2:$E$501,MATCH(160,Itens!$M$2:$M$501,0))),"")</f>
        <v/>
      </c>
      <c r="D172" s="17">
        <f>IFERROR(IF(INDEX(Itens!$F$2:$F$501,MATCH(160,Itens!$M$2:$M$501,0))="","",INDEX(Itens!$F$2:$F$501,MATCH(160,Itens!$M$2:$M$501,0))),"")</f>
        <v/>
      </c>
      <c r="E172" s="17">
        <f>IFERROR(IF(INDEX(Itens!$G$2:$G$501,MATCH(160,Itens!$M$2:$M$501,0))="","",INDEX(Itens!$G$2:$G$501,MATCH(160,Itens!$M$2:$M$501,0))),"")</f>
        <v/>
      </c>
      <c r="F172" s="17">
        <f>IFERROR(IF(INDEX(Itens!$I$2:$I$501,MATCH(160,Itens!$M$2:$M$501,0))="","",INDEX(Itens!$I$2:$I$501,MATCH(160,Itens!$M$2:$M$501,0))),"")</f>
        <v/>
      </c>
      <c r="G172" s="17">
        <f>IFERROR(IF(INDEX(Itens!$J$2:$J$501,MATCH(160,Itens!$M$2:$M$501,0))="","",INDEX(Itens!$J$2:$J$501,MATCH(160,Itens!$M$2:$M$501,0))),"")</f>
        <v/>
      </c>
      <c r="H172" s="18">
        <f>IFERROR(IF(INDEX(Itens!$K$2:$K$501,MATCH(160,Itens!$M$2:$M$501,0))="","",INDEX(Itens!$K$2:$K$501,MATCH(160,Itens!$M$2:$M$501,0))),"")</f>
        <v/>
      </c>
      <c r="I172" s="17">
        <f>IFERROR(IF(INDEX(Itens!$L$2:$L$501,MATCH(160,Itens!$M$2:$M$501,0))="","",INDEX(Itens!$L$2:$L$501,MATCH(160,Itens!$M$2:$M$501,0))),"")</f>
        <v/>
      </c>
    </row>
    <row r="173">
      <c r="A173" s="17">
        <f>IFERROR(IF(INDEX(Itens!$A$2:$A$501,MATCH(161,Itens!$M$2:$M$501,0))="","",INDEX(Itens!$A$2:$A$501,MATCH(161,Itens!$M$2:$M$501,0))),"")</f>
        <v/>
      </c>
      <c r="B173" s="17">
        <f>IFERROR(IF(INDEX(Itens!$C$2:$C$501,MATCH(161,Itens!$M$2:$M$501,0))="","",INDEX(Itens!$C$2:$C$501,MATCH(161,Itens!$M$2:$M$501,0))),"")</f>
        <v/>
      </c>
      <c r="C173" s="17">
        <f>IFERROR(IF(INDEX(Itens!$E$2:$E$501,MATCH(161,Itens!$M$2:$M$501,0))="","",INDEX(Itens!$E$2:$E$501,MATCH(161,Itens!$M$2:$M$501,0))),"")</f>
        <v/>
      </c>
      <c r="D173" s="17">
        <f>IFERROR(IF(INDEX(Itens!$F$2:$F$501,MATCH(161,Itens!$M$2:$M$501,0))="","",INDEX(Itens!$F$2:$F$501,MATCH(161,Itens!$M$2:$M$501,0))),"")</f>
        <v/>
      </c>
      <c r="E173" s="17">
        <f>IFERROR(IF(INDEX(Itens!$G$2:$G$501,MATCH(161,Itens!$M$2:$M$501,0))="","",INDEX(Itens!$G$2:$G$501,MATCH(161,Itens!$M$2:$M$501,0))),"")</f>
        <v/>
      </c>
      <c r="F173" s="17">
        <f>IFERROR(IF(INDEX(Itens!$I$2:$I$501,MATCH(161,Itens!$M$2:$M$501,0))="","",INDEX(Itens!$I$2:$I$501,MATCH(161,Itens!$M$2:$M$501,0))),"")</f>
        <v/>
      </c>
      <c r="G173" s="17">
        <f>IFERROR(IF(INDEX(Itens!$J$2:$J$501,MATCH(161,Itens!$M$2:$M$501,0))="","",INDEX(Itens!$J$2:$J$501,MATCH(161,Itens!$M$2:$M$501,0))),"")</f>
        <v/>
      </c>
      <c r="H173" s="18">
        <f>IFERROR(IF(INDEX(Itens!$K$2:$K$501,MATCH(161,Itens!$M$2:$M$501,0))="","",INDEX(Itens!$K$2:$K$501,MATCH(161,Itens!$M$2:$M$501,0))),"")</f>
        <v/>
      </c>
      <c r="I173" s="17">
        <f>IFERROR(IF(INDEX(Itens!$L$2:$L$501,MATCH(161,Itens!$M$2:$M$501,0))="","",INDEX(Itens!$L$2:$L$501,MATCH(161,Itens!$M$2:$M$501,0))),"")</f>
        <v/>
      </c>
    </row>
    <row r="174">
      <c r="A174" s="17">
        <f>IFERROR(IF(INDEX(Itens!$A$2:$A$501,MATCH(162,Itens!$M$2:$M$501,0))="","",INDEX(Itens!$A$2:$A$501,MATCH(162,Itens!$M$2:$M$501,0))),"")</f>
        <v/>
      </c>
      <c r="B174" s="17">
        <f>IFERROR(IF(INDEX(Itens!$C$2:$C$501,MATCH(162,Itens!$M$2:$M$501,0))="","",INDEX(Itens!$C$2:$C$501,MATCH(162,Itens!$M$2:$M$501,0))),"")</f>
        <v/>
      </c>
      <c r="C174" s="17">
        <f>IFERROR(IF(INDEX(Itens!$E$2:$E$501,MATCH(162,Itens!$M$2:$M$501,0))="","",INDEX(Itens!$E$2:$E$501,MATCH(162,Itens!$M$2:$M$501,0))),"")</f>
        <v/>
      </c>
      <c r="D174" s="17">
        <f>IFERROR(IF(INDEX(Itens!$F$2:$F$501,MATCH(162,Itens!$M$2:$M$501,0))="","",INDEX(Itens!$F$2:$F$501,MATCH(162,Itens!$M$2:$M$501,0))),"")</f>
        <v/>
      </c>
      <c r="E174" s="17">
        <f>IFERROR(IF(INDEX(Itens!$G$2:$G$501,MATCH(162,Itens!$M$2:$M$501,0))="","",INDEX(Itens!$G$2:$G$501,MATCH(162,Itens!$M$2:$M$501,0))),"")</f>
        <v/>
      </c>
      <c r="F174" s="17">
        <f>IFERROR(IF(INDEX(Itens!$I$2:$I$501,MATCH(162,Itens!$M$2:$M$501,0))="","",INDEX(Itens!$I$2:$I$501,MATCH(162,Itens!$M$2:$M$501,0))),"")</f>
        <v/>
      </c>
      <c r="G174" s="17">
        <f>IFERROR(IF(INDEX(Itens!$J$2:$J$501,MATCH(162,Itens!$M$2:$M$501,0))="","",INDEX(Itens!$J$2:$J$501,MATCH(162,Itens!$M$2:$M$501,0))),"")</f>
        <v/>
      </c>
      <c r="H174" s="18">
        <f>IFERROR(IF(INDEX(Itens!$K$2:$K$501,MATCH(162,Itens!$M$2:$M$501,0))="","",INDEX(Itens!$K$2:$K$501,MATCH(162,Itens!$M$2:$M$501,0))),"")</f>
        <v/>
      </c>
      <c r="I174" s="17">
        <f>IFERROR(IF(INDEX(Itens!$L$2:$L$501,MATCH(162,Itens!$M$2:$M$501,0))="","",INDEX(Itens!$L$2:$L$501,MATCH(162,Itens!$M$2:$M$501,0))),"")</f>
        <v/>
      </c>
    </row>
    <row r="175">
      <c r="A175" s="17">
        <f>IFERROR(IF(INDEX(Itens!$A$2:$A$501,MATCH(163,Itens!$M$2:$M$501,0))="","",INDEX(Itens!$A$2:$A$501,MATCH(163,Itens!$M$2:$M$501,0))),"")</f>
        <v/>
      </c>
      <c r="B175" s="17">
        <f>IFERROR(IF(INDEX(Itens!$C$2:$C$501,MATCH(163,Itens!$M$2:$M$501,0))="","",INDEX(Itens!$C$2:$C$501,MATCH(163,Itens!$M$2:$M$501,0))),"")</f>
        <v/>
      </c>
      <c r="C175" s="17">
        <f>IFERROR(IF(INDEX(Itens!$E$2:$E$501,MATCH(163,Itens!$M$2:$M$501,0))="","",INDEX(Itens!$E$2:$E$501,MATCH(163,Itens!$M$2:$M$501,0))),"")</f>
        <v/>
      </c>
      <c r="D175" s="17">
        <f>IFERROR(IF(INDEX(Itens!$F$2:$F$501,MATCH(163,Itens!$M$2:$M$501,0))="","",INDEX(Itens!$F$2:$F$501,MATCH(163,Itens!$M$2:$M$501,0))),"")</f>
        <v/>
      </c>
      <c r="E175" s="17">
        <f>IFERROR(IF(INDEX(Itens!$G$2:$G$501,MATCH(163,Itens!$M$2:$M$501,0))="","",INDEX(Itens!$G$2:$G$501,MATCH(163,Itens!$M$2:$M$501,0))),"")</f>
        <v/>
      </c>
      <c r="F175" s="17">
        <f>IFERROR(IF(INDEX(Itens!$I$2:$I$501,MATCH(163,Itens!$M$2:$M$501,0))="","",INDEX(Itens!$I$2:$I$501,MATCH(163,Itens!$M$2:$M$501,0))),"")</f>
        <v/>
      </c>
      <c r="G175" s="17">
        <f>IFERROR(IF(INDEX(Itens!$J$2:$J$501,MATCH(163,Itens!$M$2:$M$501,0))="","",INDEX(Itens!$J$2:$J$501,MATCH(163,Itens!$M$2:$M$501,0))),"")</f>
        <v/>
      </c>
      <c r="H175" s="18">
        <f>IFERROR(IF(INDEX(Itens!$K$2:$K$501,MATCH(163,Itens!$M$2:$M$501,0))="","",INDEX(Itens!$K$2:$K$501,MATCH(163,Itens!$M$2:$M$501,0))),"")</f>
        <v/>
      </c>
      <c r="I175" s="17">
        <f>IFERROR(IF(INDEX(Itens!$L$2:$L$501,MATCH(163,Itens!$M$2:$M$501,0))="","",INDEX(Itens!$L$2:$L$501,MATCH(163,Itens!$M$2:$M$501,0))),"")</f>
        <v/>
      </c>
    </row>
    <row r="176">
      <c r="A176" s="17">
        <f>IFERROR(IF(INDEX(Itens!$A$2:$A$501,MATCH(164,Itens!$M$2:$M$501,0))="","",INDEX(Itens!$A$2:$A$501,MATCH(164,Itens!$M$2:$M$501,0))),"")</f>
        <v/>
      </c>
      <c r="B176" s="17">
        <f>IFERROR(IF(INDEX(Itens!$C$2:$C$501,MATCH(164,Itens!$M$2:$M$501,0))="","",INDEX(Itens!$C$2:$C$501,MATCH(164,Itens!$M$2:$M$501,0))),"")</f>
        <v/>
      </c>
      <c r="C176" s="17">
        <f>IFERROR(IF(INDEX(Itens!$E$2:$E$501,MATCH(164,Itens!$M$2:$M$501,0))="","",INDEX(Itens!$E$2:$E$501,MATCH(164,Itens!$M$2:$M$501,0))),"")</f>
        <v/>
      </c>
      <c r="D176" s="17">
        <f>IFERROR(IF(INDEX(Itens!$F$2:$F$501,MATCH(164,Itens!$M$2:$M$501,0))="","",INDEX(Itens!$F$2:$F$501,MATCH(164,Itens!$M$2:$M$501,0))),"")</f>
        <v/>
      </c>
      <c r="E176" s="17">
        <f>IFERROR(IF(INDEX(Itens!$G$2:$G$501,MATCH(164,Itens!$M$2:$M$501,0))="","",INDEX(Itens!$G$2:$G$501,MATCH(164,Itens!$M$2:$M$501,0))),"")</f>
        <v/>
      </c>
      <c r="F176" s="17">
        <f>IFERROR(IF(INDEX(Itens!$I$2:$I$501,MATCH(164,Itens!$M$2:$M$501,0))="","",INDEX(Itens!$I$2:$I$501,MATCH(164,Itens!$M$2:$M$501,0))),"")</f>
        <v/>
      </c>
      <c r="G176" s="17">
        <f>IFERROR(IF(INDEX(Itens!$J$2:$J$501,MATCH(164,Itens!$M$2:$M$501,0))="","",INDEX(Itens!$J$2:$J$501,MATCH(164,Itens!$M$2:$M$501,0))),"")</f>
        <v/>
      </c>
      <c r="H176" s="18">
        <f>IFERROR(IF(INDEX(Itens!$K$2:$K$501,MATCH(164,Itens!$M$2:$M$501,0))="","",INDEX(Itens!$K$2:$K$501,MATCH(164,Itens!$M$2:$M$501,0))),"")</f>
        <v/>
      </c>
      <c r="I176" s="17">
        <f>IFERROR(IF(INDEX(Itens!$L$2:$L$501,MATCH(164,Itens!$M$2:$M$501,0))="","",INDEX(Itens!$L$2:$L$501,MATCH(164,Itens!$M$2:$M$501,0))),"")</f>
        <v/>
      </c>
    </row>
    <row r="177">
      <c r="A177" s="17">
        <f>IFERROR(IF(INDEX(Itens!$A$2:$A$501,MATCH(165,Itens!$M$2:$M$501,0))="","",INDEX(Itens!$A$2:$A$501,MATCH(165,Itens!$M$2:$M$501,0))),"")</f>
        <v/>
      </c>
      <c r="B177" s="17">
        <f>IFERROR(IF(INDEX(Itens!$C$2:$C$501,MATCH(165,Itens!$M$2:$M$501,0))="","",INDEX(Itens!$C$2:$C$501,MATCH(165,Itens!$M$2:$M$501,0))),"")</f>
        <v/>
      </c>
      <c r="C177" s="17">
        <f>IFERROR(IF(INDEX(Itens!$E$2:$E$501,MATCH(165,Itens!$M$2:$M$501,0))="","",INDEX(Itens!$E$2:$E$501,MATCH(165,Itens!$M$2:$M$501,0))),"")</f>
        <v/>
      </c>
      <c r="D177" s="17">
        <f>IFERROR(IF(INDEX(Itens!$F$2:$F$501,MATCH(165,Itens!$M$2:$M$501,0))="","",INDEX(Itens!$F$2:$F$501,MATCH(165,Itens!$M$2:$M$501,0))),"")</f>
        <v/>
      </c>
      <c r="E177" s="17">
        <f>IFERROR(IF(INDEX(Itens!$G$2:$G$501,MATCH(165,Itens!$M$2:$M$501,0))="","",INDEX(Itens!$G$2:$G$501,MATCH(165,Itens!$M$2:$M$501,0))),"")</f>
        <v/>
      </c>
      <c r="F177" s="17">
        <f>IFERROR(IF(INDEX(Itens!$I$2:$I$501,MATCH(165,Itens!$M$2:$M$501,0))="","",INDEX(Itens!$I$2:$I$501,MATCH(165,Itens!$M$2:$M$501,0))),"")</f>
        <v/>
      </c>
      <c r="G177" s="17">
        <f>IFERROR(IF(INDEX(Itens!$J$2:$J$501,MATCH(165,Itens!$M$2:$M$501,0))="","",INDEX(Itens!$J$2:$J$501,MATCH(165,Itens!$M$2:$M$501,0))),"")</f>
        <v/>
      </c>
      <c r="H177" s="18">
        <f>IFERROR(IF(INDEX(Itens!$K$2:$K$501,MATCH(165,Itens!$M$2:$M$501,0))="","",INDEX(Itens!$K$2:$K$501,MATCH(165,Itens!$M$2:$M$501,0))),"")</f>
        <v/>
      </c>
      <c r="I177" s="17">
        <f>IFERROR(IF(INDEX(Itens!$L$2:$L$501,MATCH(165,Itens!$M$2:$M$501,0))="","",INDEX(Itens!$L$2:$L$501,MATCH(165,Itens!$M$2:$M$501,0))),"")</f>
        <v/>
      </c>
    </row>
    <row r="178">
      <c r="A178" s="17">
        <f>IFERROR(IF(INDEX(Itens!$A$2:$A$501,MATCH(166,Itens!$M$2:$M$501,0))="","",INDEX(Itens!$A$2:$A$501,MATCH(166,Itens!$M$2:$M$501,0))),"")</f>
        <v/>
      </c>
      <c r="B178" s="17">
        <f>IFERROR(IF(INDEX(Itens!$C$2:$C$501,MATCH(166,Itens!$M$2:$M$501,0))="","",INDEX(Itens!$C$2:$C$501,MATCH(166,Itens!$M$2:$M$501,0))),"")</f>
        <v/>
      </c>
      <c r="C178" s="17">
        <f>IFERROR(IF(INDEX(Itens!$E$2:$E$501,MATCH(166,Itens!$M$2:$M$501,0))="","",INDEX(Itens!$E$2:$E$501,MATCH(166,Itens!$M$2:$M$501,0))),"")</f>
        <v/>
      </c>
      <c r="D178" s="17">
        <f>IFERROR(IF(INDEX(Itens!$F$2:$F$501,MATCH(166,Itens!$M$2:$M$501,0))="","",INDEX(Itens!$F$2:$F$501,MATCH(166,Itens!$M$2:$M$501,0))),"")</f>
        <v/>
      </c>
      <c r="E178" s="17">
        <f>IFERROR(IF(INDEX(Itens!$G$2:$G$501,MATCH(166,Itens!$M$2:$M$501,0))="","",INDEX(Itens!$G$2:$G$501,MATCH(166,Itens!$M$2:$M$501,0))),"")</f>
        <v/>
      </c>
      <c r="F178" s="17">
        <f>IFERROR(IF(INDEX(Itens!$I$2:$I$501,MATCH(166,Itens!$M$2:$M$501,0))="","",INDEX(Itens!$I$2:$I$501,MATCH(166,Itens!$M$2:$M$501,0))),"")</f>
        <v/>
      </c>
      <c r="G178" s="17">
        <f>IFERROR(IF(INDEX(Itens!$J$2:$J$501,MATCH(166,Itens!$M$2:$M$501,0))="","",INDEX(Itens!$J$2:$J$501,MATCH(166,Itens!$M$2:$M$501,0))),"")</f>
        <v/>
      </c>
      <c r="H178" s="18">
        <f>IFERROR(IF(INDEX(Itens!$K$2:$K$501,MATCH(166,Itens!$M$2:$M$501,0))="","",INDEX(Itens!$K$2:$K$501,MATCH(166,Itens!$M$2:$M$501,0))),"")</f>
        <v/>
      </c>
      <c r="I178" s="17">
        <f>IFERROR(IF(INDEX(Itens!$L$2:$L$501,MATCH(166,Itens!$M$2:$M$501,0))="","",INDEX(Itens!$L$2:$L$501,MATCH(166,Itens!$M$2:$M$501,0))),"")</f>
        <v/>
      </c>
    </row>
    <row r="179">
      <c r="A179" s="17">
        <f>IFERROR(IF(INDEX(Itens!$A$2:$A$501,MATCH(167,Itens!$M$2:$M$501,0))="","",INDEX(Itens!$A$2:$A$501,MATCH(167,Itens!$M$2:$M$501,0))),"")</f>
        <v/>
      </c>
      <c r="B179" s="17">
        <f>IFERROR(IF(INDEX(Itens!$C$2:$C$501,MATCH(167,Itens!$M$2:$M$501,0))="","",INDEX(Itens!$C$2:$C$501,MATCH(167,Itens!$M$2:$M$501,0))),"")</f>
        <v/>
      </c>
      <c r="C179" s="17">
        <f>IFERROR(IF(INDEX(Itens!$E$2:$E$501,MATCH(167,Itens!$M$2:$M$501,0))="","",INDEX(Itens!$E$2:$E$501,MATCH(167,Itens!$M$2:$M$501,0))),"")</f>
        <v/>
      </c>
      <c r="D179" s="17">
        <f>IFERROR(IF(INDEX(Itens!$F$2:$F$501,MATCH(167,Itens!$M$2:$M$501,0))="","",INDEX(Itens!$F$2:$F$501,MATCH(167,Itens!$M$2:$M$501,0))),"")</f>
        <v/>
      </c>
      <c r="E179" s="17">
        <f>IFERROR(IF(INDEX(Itens!$G$2:$G$501,MATCH(167,Itens!$M$2:$M$501,0))="","",INDEX(Itens!$G$2:$G$501,MATCH(167,Itens!$M$2:$M$501,0))),"")</f>
        <v/>
      </c>
      <c r="F179" s="17">
        <f>IFERROR(IF(INDEX(Itens!$I$2:$I$501,MATCH(167,Itens!$M$2:$M$501,0))="","",INDEX(Itens!$I$2:$I$501,MATCH(167,Itens!$M$2:$M$501,0))),"")</f>
        <v/>
      </c>
      <c r="G179" s="17">
        <f>IFERROR(IF(INDEX(Itens!$J$2:$J$501,MATCH(167,Itens!$M$2:$M$501,0))="","",INDEX(Itens!$J$2:$J$501,MATCH(167,Itens!$M$2:$M$501,0))),"")</f>
        <v/>
      </c>
      <c r="H179" s="18">
        <f>IFERROR(IF(INDEX(Itens!$K$2:$K$501,MATCH(167,Itens!$M$2:$M$501,0))="","",INDEX(Itens!$K$2:$K$501,MATCH(167,Itens!$M$2:$M$501,0))),"")</f>
        <v/>
      </c>
      <c r="I179" s="17">
        <f>IFERROR(IF(INDEX(Itens!$L$2:$L$501,MATCH(167,Itens!$M$2:$M$501,0))="","",INDEX(Itens!$L$2:$L$501,MATCH(167,Itens!$M$2:$M$501,0))),"")</f>
        <v/>
      </c>
    </row>
    <row r="180">
      <c r="A180" s="17">
        <f>IFERROR(IF(INDEX(Itens!$A$2:$A$501,MATCH(168,Itens!$M$2:$M$501,0))="","",INDEX(Itens!$A$2:$A$501,MATCH(168,Itens!$M$2:$M$501,0))),"")</f>
        <v/>
      </c>
      <c r="B180" s="17">
        <f>IFERROR(IF(INDEX(Itens!$C$2:$C$501,MATCH(168,Itens!$M$2:$M$501,0))="","",INDEX(Itens!$C$2:$C$501,MATCH(168,Itens!$M$2:$M$501,0))),"")</f>
        <v/>
      </c>
      <c r="C180" s="17">
        <f>IFERROR(IF(INDEX(Itens!$E$2:$E$501,MATCH(168,Itens!$M$2:$M$501,0))="","",INDEX(Itens!$E$2:$E$501,MATCH(168,Itens!$M$2:$M$501,0))),"")</f>
        <v/>
      </c>
      <c r="D180" s="17">
        <f>IFERROR(IF(INDEX(Itens!$F$2:$F$501,MATCH(168,Itens!$M$2:$M$501,0))="","",INDEX(Itens!$F$2:$F$501,MATCH(168,Itens!$M$2:$M$501,0))),"")</f>
        <v/>
      </c>
      <c r="E180" s="17">
        <f>IFERROR(IF(INDEX(Itens!$G$2:$G$501,MATCH(168,Itens!$M$2:$M$501,0))="","",INDEX(Itens!$G$2:$G$501,MATCH(168,Itens!$M$2:$M$501,0))),"")</f>
        <v/>
      </c>
      <c r="F180" s="17">
        <f>IFERROR(IF(INDEX(Itens!$I$2:$I$501,MATCH(168,Itens!$M$2:$M$501,0))="","",INDEX(Itens!$I$2:$I$501,MATCH(168,Itens!$M$2:$M$501,0))),"")</f>
        <v/>
      </c>
      <c r="G180" s="17">
        <f>IFERROR(IF(INDEX(Itens!$J$2:$J$501,MATCH(168,Itens!$M$2:$M$501,0))="","",INDEX(Itens!$J$2:$J$501,MATCH(168,Itens!$M$2:$M$501,0))),"")</f>
        <v/>
      </c>
      <c r="H180" s="18">
        <f>IFERROR(IF(INDEX(Itens!$K$2:$K$501,MATCH(168,Itens!$M$2:$M$501,0))="","",INDEX(Itens!$K$2:$K$501,MATCH(168,Itens!$M$2:$M$501,0))),"")</f>
        <v/>
      </c>
      <c r="I180" s="17">
        <f>IFERROR(IF(INDEX(Itens!$L$2:$L$501,MATCH(168,Itens!$M$2:$M$501,0))="","",INDEX(Itens!$L$2:$L$501,MATCH(168,Itens!$M$2:$M$501,0))),"")</f>
        <v/>
      </c>
    </row>
    <row r="181">
      <c r="A181" s="17">
        <f>IFERROR(IF(INDEX(Itens!$A$2:$A$501,MATCH(169,Itens!$M$2:$M$501,0))="","",INDEX(Itens!$A$2:$A$501,MATCH(169,Itens!$M$2:$M$501,0))),"")</f>
        <v/>
      </c>
      <c r="B181" s="17">
        <f>IFERROR(IF(INDEX(Itens!$C$2:$C$501,MATCH(169,Itens!$M$2:$M$501,0))="","",INDEX(Itens!$C$2:$C$501,MATCH(169,Itens!$M$2:$M$501,0))),"")</f>
        <v/>
      </c>
      <c r="C181" s="17">
        <f>IFERROR(IF(INDEX(Itens!$E$2:$E$501,MATCH(169,Itens!$M$2:$M$501,0))="","",INDEX(Itens!$E$2:$E$501,MATCH(169,Itens!$M$2:$M$501,0))),"")</f>
        <v/>
      </c>
      <c r="D181" s="17">
        <f>IFERROR(IF(INDEX(Itens!$F$2:$F$501,MATCH(169,Itens!$M$2:$M$501,0))="","",INDEX(Itens!$F$2:$F$501,MATCH(169,Itens!$M$2:$M$501,0))),"")</f>
        <v/>
      </c>
      <c r="E181" s="17">
        <f>IFERROR(IF(INDEX(Itens!$G$2:$G$501,MATCH(169,Itens!$M$2:$M$501,0))="","",INDEX(Itens!$G$2:$G$501,MATCH(169,Itens!$M$2:$M$501,0))),"")</f>
        <v/>
      </c>
      <c r="F181" s="17">
        <f>IFERROR(IF(INDEX(Itens!$I$2:$I$501,MATCH(169,Itens!$M$2:$M$501,0))="","",INDEX(Itens!$I$2:$I$501,MATCH(169,Itens!$M$2:$M$501,0))),"")</f>
        <v/>
      </c>
      <c r="G181" s="17">
        <f>IFERROR(IF(INDEX(Itens!$J$2:$J$501,MATCH(169,Itens!$M$2:$M$501,0))="","",INDEX(Itens!$J$2:$J$501,MATCH(169,Itens!$M$2:$M$501,0))),"")</f>
        <v/>
      </c>
      <c r="H181" s="18">
        <f>IFERROR(IF(INDEX(Itens!$K$2:$K$501,MATCH(169,Itens!$M$2:$M$501,0))="","",INDEX(Itens!$K$2:$K$501,MATCH(169,Itens!$M$2:$M$501,0))),"")</f>
        <v/>
      </c>
      <c r="I181" s="17">
        <f>IFERROR(IF(INDEX(Itens!$L$2:$L$501,MATCH(169,Itens!$M$2:$M$501,0))="","",INDEX(Itens!$L$2:$L$501,MATCH(169,Itens!$M$2:$M$501,0))),"")</f>
        <v/>
      </c>
    </row>
    <row r="182">
      <c r="A182" s="17">
        <f>IFERROR(IF(INDEX(Itens!$A$2:$A$501,MATCH(170,Itens!$M$2:$M$501,0))="","",INDEX(Itens!$A$2:$A$501,MATCH(170,Itens!$M$2:$M$501,0))),"")</f>
        <v/>
      </c>
      <c r="B182" s="17">
        <f>IFERROR(IF(INDEX(Itens!$C$2:$C$501,MATCH(170,Itens!$M$2:$M$501,0))="","",INDEX(Itens!$C$2:$C$501,MATCH(170,Itens!$M$2:$M$501,0))),"")</f>
        <v/>
      </c>
      <c r="C182" s="17">
        <f>IFERROR(IF(INDEX(Itens!$E$2:$E$501,MATCH(170,Itens!$M$2:$M$501,0))="","",INDEX(Itens!$E$2:$E$501,MATCH(170,Itens!$M$2:$M$501,0))),"")</f>
        <v/>
      </c>
      <c r="D182" s="17">
        <f>IFERROR(IF(INDEX(Itens!$F$2:$F$501,MATCH(170,Itens!$M$2:$M$501,0))="","",INDEX(Itens!$F$2:$F$501,MATCH(170,Itens!$M$2:$M$501,0))),"")</f>
        <v/>
      </c>
      <c r="E182" s="17">
        <f>IFERROR(IF(INDEX(Itens!$G$2:$G$501,MATCH(170,Itens!$M$2:$M$501,0))="","",INDEX(Itens!$G$2:$G$501,MATCH(170,Itens!$M$2:$M$501,0))),"")</f>
        <v/>
      </c>
      <c r="F182" s="17">
        <f>IFERROR(IF(INDEX(Itens!$I$2:$I$501,MATCH(170,Itens!$M$2:$M$501,0))="","",INDEX(Itens!$I$2:$I$501,MATCH(170,Itens!$M$2:$M$501,0))),"")</f>
        <v/>
      </c>
      <c r="G182" s="17">
        <f>IFERROR(IF(INDEX(Itens!$J$2:$J$501,MATCH(170,Itens!$M$2:$M$501,0))="","",INDEX(Itens!$J$2:$J$501,MATCH(170,Itens!$M$2:$M$501,0))),"")</f>
        <v/>
      </c>
      <c r="H182" s="18">
        <f>IFERROR(IF(INDEX(Itens!$K$2:$K$501,MATCH(170,Itens!$M$2:$M$501,0))="","",INDEX(Itens!$K$2:$K$501,MATCH(170,Itens!$M$2:$M$501,0))),"")</f>
        <v/>
      </c>
      <c r="I182" s="17">
        <f>IFERROR(IF(INDEX(Itens!$L$2:$L$501,MATCH(170,Itens!$M$2:$M$501,0))="","",INDEX(Itens!$L$2:$L$501,MATCH(170,Itens!$M$2:$M$501,0))),"")</f>
        <v/>
      </c>
    </row>
    <row r="183">
      <c r="A183" s="17">
        <f>IFERROR(IF(INDEX(Itens!$A$2:$A$501,MATCH(171,Itens!$M$2:$M$501,0))="","",INDEX(Itens!$A$2:$A$501,MATCH(171,Itens!$M$2:$M$501,0))),"")</f>
        <v/>
      </c>
      <c r="B183" s="17">
        <f>IFERROR(IF(INDEX(Itens!$C$2:$C$501,MATCH(171,Itens!$M$2:$M$501,0))="","",INDEX(Itens!$C$2:$C$501,MATCH(171,Itens!$M$2:$M$501,0))),"")</f>
        <v/>
      </c>
      <c r="C183" s="17">
        <f>IFERROR(IF(INDEX(Itens!$E$2:$E$501,MATCH(171,Itens!$M$2:$M$501,0))="","",INDEX(Itens!$E$2:$E$501,MATCH(171,Itens!$M$2:$M$501,0))),"")</f>
        <v/>
      </c>
      <c r="D183" s="17">
        <f>IFERROR(IF(INDEX(Itens!$F$2:$F$501,MATCH(171,Itens!$M$2:$M$501,0))="","",INDEX(Itens!$F$2:$F$501,MATCH(171,Itens!$M$2:$M$501,0))),"")</f>
        <v/>
      </c>
      <c r="E183" s="17">
        <f>IFERROR(IF(INDEX(Itens!$G$2:$G$501,MATCH(171,Itens!$M$2:$M$501,0))="","",INDEX(Itens!$G$2:$G$501,MATCH(171,Itens!$M$2:$M$501,0))),"")</f>
        <v/>
      </c>
      <c r="F183" s="17">
        <f>IFERROR(IF(INDEX(Itens!$I$2:$I$501,MATCH(171,Itens!$M$2:$M$501,0))="","",INDEX(Itens!$I$2:$I$501,MATCH(171,Itens!$M$2:$M$501,0))),"")</f>
        <v/>
      </c>
      <c r="G183" s="17">
        <f>IFERROR(IF(INDEX(Itens!$J$2:$J$501,MATCH(171,Itens!$M$2:$M$501,0))="","",INDEX(Itens!$J$2:$J$501,MATCH(171,Itens!$M$2:$M$501,0))),"")</f>
        <v/>
      </c>
      <c r="H183" s="18">
        <f>IFERROR(IF(INDEX(Itens!$K$2:$K$501,MATCH(171,Itens!$M$2:$M$501,0))="","",INDEX(Itens!$K$2:$K$501,MATCH(171,Itens!$M$2:$M$501,0))),"")</f>
        <v/>
      </c>
      <c r="I183" s="17">
        <f>IFERROR(IF(INDEX(Itens!$L$2:$L$501,MATCH(171,Itens!$M$2:$M$501,0))="","",INDEX(Itens!$L$2:$L$501,MATCH(171,Itens!$M$2:$M$501,0))),"")</f>
        <v/>
      </c>
    </row>
    <row r="184">
      <c r="A184" s="17">
        <f>IFERROR(IF(INDEX(Itens!$A$2:$A$501,MATCH(172,Itens!$M$2:$M$501,0))="","",INDEX(Itens!$A$2:$A$501,MATCH(172,Itens!$M$2:$M$501,0))),"")</f>
        <v/>
      </c>
      <c r="B184" s="17">
        <f>IFERROR(IF(INDEX(Itens!$C$2:$C$501,MATCH(172,Itens!$M$2:$M$501,0))="","",INDEX(Itens!$C$2:$C$501,MATCH(172,Itens!$M$2:$M$501,0))),"")</f>
        <v/>
      </c>
      <c r="C184" s="17">
        <f>IFERROR(IF(INDEX(Itens!$E$2:$E$501,MATCH(172,Itens!$M$2:$M$501,0))="","",INDEX(Itens!$E$2:$E$501,MATCH(172,Itens!$M$2:$M$501,0))),"")</f>
        <v/>
      </c>
      <c r="D184" s="17">
        <f>IFERROR(IF(INDEX(Itens!$F$2:$F$501,MATCH(172,Itens!$M$2:$M$501,0))="","",INDEX(Itens!$F$2:$F$501,MATCH(172,Itens!$M$2:$M$501,0))),"")</f>
        <v/>
      </c>
      <c r="E184" s="17">
        <f>IFERROR(IF(INDEX(Itens!$G$2:$G$501,MATCH(172,Itens!$M$2:$M$501,0))="","",INDEX(Itens!$G$2:$G$501,MATCH(172,Itens!$M$2:$M$501,0))),"")</f>
        <v/>
      </c>
      <c r="F184" s="17">
        <f>IFERROR(IF(INDEX(Itens!$I$2:$I$501,MATCH(172,Itens!$M$2:$M$501,0))="","",INDEX(Itens!$I$2:$I$501,MATCH(172,Itens!$M$2:$M$501,0))),"")</f>
        <v/>
      </c>
      <c r="G184" s="17">
        <f>IFERROR(IF(INDEX(Itens!$J$2:$J$501,MATCH(172,Itens!$M$2:$M$501,0))="","",INDEX(Itens!$J$2:$J$501,MATCH(172,Itens!$M$2:$M$501,0))),"")</f>
        <v/>
      </c>
      <c r="H184" s="18">
        <f>IFERROR(IF(INDEX(Itens!$K$2:$K$501,MATCH(172,Itens!$M$2:$M$501,0))="","",INDEX(Itens!$K$2:$K$501,MATCH(172,Itens!$M$2:$M$501,0))),"")</f>
        <v/>
      </c>
      <c r="I184" s="17">
        <f>IFERROR(IF(INDEX(Itens!$L$2:$L$501,MATCH(172,Itens!$M$2:$M$501,0))="","",INDEX(Itens!$L$2:$L$501,MATCH(172,Itens!$M$2:$M$501,0))),"")</f>
        <v/>
      </c>
    </row>
    <row r="185">
      <c r="A185" s="17">
        <f>IFERROR(IF(INDEX(Itens!$A$2:$A$501,MATCH(173,Itens!$M$2:$M$501,0))="","",INDEX(Itens!$A$2:$A$501,MATCH(173,Itens!$M$2:$M$501,0))),"")</f>
        <v/>
      </c>
      <c r="B185" s="17">
        <f>IFERROR(IF(INDEX(Itens!$C$2:$C$501,MATCH(173,Itens!$M$2:$M$501,0))="","",INDEX(Itens!$C$2:$C$501,MATCH(173,Itens!$M$2:$M$501,0))),"")</f>
        <v/>
      </c>
      <c r="C185" s="17">
        <f>IFERROR(IF(INDEX(Itens!$E$2:$E$501,MATCH(173,Itens!$M$2:$M$501,0))="","",INDEX(Itens!$E$2:$E$501,MATCH(173,Itens!$M$2:$M$501,0))),"")</f>
        <v/>
      </c>
      <c r="D185" s="17">
        <f>IFERROR(IF(INDEX(Itens!$F$2:$F$501,MATCH(173,Itens!$M$2:$M$501,0))="","",INDEX(Itens!$F$2:$F$501,MATCH(173,Itens!$M$2:$M$501,0))),"")</f>
        <v/>
      </c>
      <c r="E185" s="17">
        <f>IFERROR(IF(INDEX(Itens!$G$2:$G$501,MATCH(173,Itens!$M$2:$M$501,0))="","",INDEX(Itens!$G$2:$G$501,MATCH(173,Itens!$M$2:$M$501,0))),"")</f>
        <v/>
      </c>
      <c r="F185" s="17">
        <f>IFERROR(IF(INDEX(Itens!$I$2:$I$501,MATCH(173,Itens!$M$2:$M$501,0))="","",INDEX(Itens!$I$2:$I$501,MATCH(173,Itens!$M$2:$M$501,0))),"")</f>
        <v/>
      </c>
      <c r="G185" s="17">
        <f>IFERROR(IF(INDEX(Itens!$J$2:$J$501,MATCH(173,Itens!$M$2:$M$501,0))="","",INDEX(Itens!$J$2:$J$501,MATCH(173,Itens!$M$2:$M$501,0))),"")</f>
        <v/>
      </c>
      <c r="H185" s="18">
        <f>IFERROR(IF(INDEX(Itens!$K$2:$K$501,MATCH(173,Itens!$M$2:$M$501,0))="","",INDEX(Itens!$K$2:$K$501,MATCH(173,Itens!$M$2:$M$501,0))),"")</f>
        <v/>
      </c>
      <c r="I185" s="17">
        <f>IFERROR(IF(INDEX(Itens!$L$2:$L$501,MATCH(173,Itens!$M$2:$M$501,0))="","",INDEX(Itens!$L$2:$L$501,MATCH(173,Itens!$M$2:$M$501,0))),"")</f>
        <v/>
      </c>
    </row>
    <row r="186">
      <c r="A186" s="17">
        <f>IFERROR(IF(INDEX(Itens!$A$2:$A$501,MATCH(174,Itens!$M$2:$M$501,0))="","",INDEX(Itens!$A$2:$A$501,MATCH(174,Itens!$M$2:$M$501,0))),"")</f>
        <v/>
      </c>
      <c r="B186" s="17">
        <f>IFERROR(IF(INDEX(Itens!$C$2:$C$501,MATCH(174,Itens!$M$2:$M$501,0))="","",INDEX(Itens!$C$2:$C$501,MATCH(174,Itens!$M$2:$M$501,0))),"")</f>
        <v/>
      </c>
      <c r="C186" s="17">
        <f>IFERROR(IF(INDEX(Itens!$E$2:$E$501,MATCH(174,Itens!$M$2:$M$501,0))="","",INDEX(Itens!$E$2:$E$501,MATCH(174,Itens!$M$2:$M$501,0))),"")</f>
        <v/>
      </c>
      <c r="D186" s="17">
        <f>IFERROR(IF(INDEX(Itens!$F$2:$F$501,MATCH(174,Itens!$M$2:$M$501,0))="","",INDEX(Itens!$F$2:$F$501,MATCH(174,Itens!$M$2:$M$501,0))),"")</f>
        <v/>
      </c>
      <c r="E186" s="17">
        <f>IFERROR(IF(INDEX(Itens!$G$2:$G$501,MATCH(174,Itens!$M$2:$M$501,0))="","",INDEX(Itens!$G$2:$G$501,MATCH(174,Itens!$M$2:$M$501,0))),"")</f>
        <v/>
      </c>
      <c r="F186" s="17">
        <f>IFERROR(IF(INDEX(Itens!$I$2:$I$501,MATCH(174,Itens!$M$2:$M$501,0))="","",INDEX(Itens!$I$2:$I$501,MATCH(174,Itens!$M$2:$M$501,0))),"")</f>
        <v/>
      </c>
      <c r="G186" s="17">
        <f>IFERROR(IF(INDEX(Itens!$J$2:$J$501,MATCH(174,Itens!$M$2:$M$501,0))="","",INDEX(Itens!$J$2:$J$501,MATCH(174,Itens!$M$2:$M$501,0))),"")</f>
        <v/>
      </c>
      <c r="H186" s="18">
        <f>IFERROR(IF(INDEX(Itens!$K$2:$K$501,MATCH(174,Itens!$M$2:$M$501,0))="","",INDEX(Itens!$K$2:$K$501,MATCH(174,Itens!$M$2:$M$501,0))),"")</f>
        <v/>
      </c>
      <c r="I186" s="17">
        <f>IFERROR(IF(INDEX(Itens!$L$2:$L$501,MATCH(174,Itens!$M$2:$M$501,0))="","",INDEX(Itens!$L$2:$L$501,MATCH(174,Itens!$M$2:$M$501,0))),"")</f>
        <v/>
      </c>
    </row>
    <row r="187">
      <c r="A187" s="17">
        <f>IFERROR(IF(INDEX(Itens!$A$2:$A$501,MATCH(175,Itens!$M$2:$M$501,0))="","",INDEX(Itens!$A$2:$A$501,MATCH(175,Itens!$M$2:$M$501,0))),"")</f>
        <v/>
      </c>
      <c r="B187" s="17">
        <f>IFERROR(IF(INDEX(Itens!$C$2:$C$501,MATCH(175,Itens!$M$2:$M$501,0))="","",INDEX(Itens!$C$2:$C$501,MATCH(175,Itens!$M$2:$M$501,0))),"")</f>
        <v/>
      </c>
      <c r="C187" s="17">
        <f>IFERROR(IF(INDEX(Itens!$E$2:$E$501,MATCH(175,Itens!$M$2:$M$501,0))="","",INDEX(Itens!$E$2:$E$501,MATCH(175,Itens!$M$2:$M$501,0))),"")</f>
        <v/>
      </c>
      <c r="D187" s="17">
        <f>IFERROR(IF(INDEX(Itens!$F$2:$F$501,MATCH(175,Itens!$M$2:$M$501,0))="","",INDEX(Itens!$F$2:$F$501,MATCH(175,Itens!$M$2:$M$501,0))),"")</f>
        <v/>
      </c>
      <c r="E187" s="17">
        <f>IFERROR(IF(INDEX(Itens!$G$2:$G$501,MATCH(175,Itens!$M$2:$M$501,0))="","",INDEX(Itens!$G$2:$G$501,MATCH(175,Itens!$M$2:$M$501,0))),"")</f>
        <v/>
      </c>
      <c r="F187" s="17">
        <f>IFERROR(IF(INDEX(Itens!$I$2:$I$501,MATCH(175,Itens!$M$2:$M$501,0))="","",INDEX(Itens!$I$2:$I$501,MATCH(175,Itens!$M$2:$M$501,0))),"")</f>
        <v/>
      </c>
      <c r="G187" s="17">
        <f>IFERROR(IF(INDEX(Itens!$J$2:$J$501,MATCH(175,Itens!$M$2:$M$501,0))="","",INDEX(Itens!$J$2:$J$501,MATCH(175,Itens!$M$2:$M$501,0))),"")</f>
        <v/>
      </c>
      <c r="H187" s="18">
        <f>IFERROR(IF(INDEX(Itens!$K$2:$K$501,MATCH(175,Itens!$M$2:$M$501,0))="","",INDEX(Itens!$K$2:$K$501,MATCH(175,Itens!$M$2:$M$501,0))),"")</f>
        <v/>
      </c>
      <c r="I187" s="17">
        <f>IFERROR(IF(INDEX(Itens!$L$2:$L$501,MATCH(175,Itens!$M$2:$M$501,0))="","",INDEX(Itens!$L$2:$L$501,MATCH(175,Itens!$M$2:$M$501,0))),"")</f>
        <v/>
      </c>
    </row>
    <row r="188">
      <c r="A188" s="17">
        <f>IFERROR(IF(INDEX(Itens!$A$2:$A$501,MATCH(176,Itens!$M$2:$M$501,0))="","",INDEX(Itens!$A$2:$A$501,MATCH(176,Itens!$M$2:$M$501,0))),"")</f>
        <v/>
      </c>
      <c r="B188" s="17">
        <f>IFERROR(IF(INDEX(Itens!$C$2:$C$501,MATCH(176,Itens!$M$2:$M$501,0))="","",INDEX(Itens!$C$2:$C$501,MATCH(176,Itens!$M$2:$M$501,0))),"")</f>
        <v/>
      </c>
      <c r="C188" s="17">
        <f>IFERROR(IF(INDEX(Itens!$E$2:$E$501,MATCH(176,Itens!$M$2:$M$501,0))="","",INDEX(Itens!$E$2:$E$501,MATCH(176,Itens!$M$2:$M$501,0))),"")</f>
        <v/>
      </c>
      <c r="D188" s="17">
        <f>IFERROR(IF(INDEX(Itens!$F$2:$F$501,MATCH(176,Itens!$M$2:$M$501,0))="","",INDEX(Itens!$F$2:$F$501,MATCH(176,Itens!$M$2:$M$501,0))),"")</f>
        <v/>
      </c>
      <c r="E188" s="17">
        <f>IFERROR(IF(INDEX(Itens!$G$2:$G$501,MATCH(176,Itens!$M$2:$M$501,0))="","",INDEX(Itens!$G$2:$G$501,MATCH(176,Itens!$M$2:$M$501,0))),"")</f>
        <v/>
      </c>
      <c r="F188" s="17">
        <f>IFERROR(IF(INDEX(Itens!$I$2:$I$501,MATCH(176,Itens!$M$2:$M$501,0))="","",INDEX(Itens!$I$2:$I$501,MATCH(176,Itens!$M$2:$M$501,0))),"")</f>
        <v/>
      </c>
      <c r="G188" s="17">
        <f>IFERROR(IF(INDEX(Itens!$J$2:$J$501,MATCH(176,Itens!$M$2:$M$501,0))="","",INDEX(Itens!$J$2:$J$501,MATCH(176,Itens!$M$2:$M$501,0))),"")</f>
        <v/>
      </c>
      <c r="H188" s="18">
        <f>IFERROR(IF(INDEX(Itens!$K$2:$K$501,MATCH(176,Itens!$M$2:$M$501,0))="","",INDEX(Itens!$K$2:$K$501,MATCH(176,Itens!$M$2:$M$501,0))),"")</f>
        <v/>
      </c>
      <c r="I188" s="17">
        <f>IFERROR(IF(INDEX(Itens!$L$2:$L$501,MATCH(176,Itens!$M$2:$M$501,0))="","",INDEX(Itens!$L$2:$L$501,MATCH(176,Itens!$M$2:$M$501,0))),"")</f>
        <v/>
      </c>
    </row>
    <row r="189">
      <c r="A189" s="17">
        <f>IFERROR(IF(INDEX(Itens!$A$2:$A$501,MATCH(177,Itens!$M$2:$M$501,0))="","",INDEX(Itens!$A$2:$A$501,MATCH(177,Itens!$M$2:$M$501,0))),"")</f>
        <v/>
      </c>
      <c r="B189" s="17">
        <f>IFERROR(IF(INDEX(Itens!$C$2:$C$501,MATCH(177,Itens!$M$2:$M$501,0))="","",INDEX(Itens!$C$2:$C$501,MATCH(177,Itens!$M$2:$M$501,0))),"")</f>
        <v/>
      </c>
      <c r="C189" s="17">
        <f>IFERROR(IF(INDEX(Itens!$E$2:$E$501,MATCH(177,Itens!$M$2:$M$501,0))="","",INDEX(Itens!$E$2:$E$501,MATCH(177,Itens!$M$2:$M$501,0))),"")</f>
        <v/>
      </c>
      <c r="D189" s="17">
        <f>IFERROR(IF(INDEX(Itens!$F$2:$F$501,MATCH(177,Itens!$M$2:$M$501,0))="","",INDEX(Itens!$F$2:$F$501,MATCH(177,Itens!$M$2:$M$501,0))),"")</f>
        <v/>
      </c>
      <c r="E189" s="17">
        <f>IFERROR(IF(INDEX(Itens!$G$2:$G$501,MATCH(177,Itens!$M$2:$M$501,0))="","",INDEX(Itens!$G$2:$G$501,MATCH(177,Itens!$M$2:$M$501,0))),"")</f>
        <v/>
      </c>
      <c r="F189" s="17">
        <f>IFERROR(IF(INDEX(Itens!$I$2:$I$501,MATCH(177,Itens!$M$2:$M$501,0))="","",INDEX(Itens!$I$2:$I$501,MATCH(177,Itens!$M$2:$M$501,0))),"")</f>
        <v/>
      </c>
      <c r="G189" s="17">
        <f>IFERROR(IF(INDEX(Itens!$J$2:$J$501,MATCH(177,Itens!$M$2:$M$501,0))="","",INDEX(Itens!$J$2:$J$501,MATCH(177,Itens!$M$2:$M$501,0))),"")</f>
        <v/>
      </c>
      <c r="H189" s="18">
        <f>IFERROR(IF(INDEX(Itens!$K$2:$K$501,MATCH(177,Itens!$M$2:$M$501,0))="","",INDEX(Itens!$K$2:$K$501,MATCH(177,Itens!$M$2:$M$501,0))),"")</f>
        <v/>
      </c>
      <c r="I189" s="17">
        <f>IFERROR(IF(INDEX(Itens!$L$2:$L$501,MATCH(177,Itens!$M$2:$M$501,0))="","",INDEX(Itens!$L$2:$L$501,MATCH(177,Itens!$M$2:$M$501,0))),"")</f>
        <v/>
      </c>
    </row>
    <row r="190">
      <c r="A190" s="17">
        <f>IFERROR(IF(INDEX(Itens!$A$2:$A$501,MATCH(178,Itens!$M$2:$M$501,0))="","",INDEX(Itens!$A$2:$A$501,MATCH(178,Itens!$M$2:$M$501,0))),"")</f>
        <v/>
      </c>
      <c r="B190" s="17">
        <f>IFERROR(IF(INDEX(Itens!$C$2:$C$501,MATCH(178,Itens!$M$2:$M$501,0))="","",INDEX(Itens!$C$2:$C$501,MATCH(178,Itens!$M$2:$M$501,0))),"")</f>
        <v/>
      </c>
      <c r="C190" s="17">
        <f>IFERROR(IF(INDEX(Itens!$E$2:$E$501,MATCH(178,Itens!$M$2:$M$501,0))="","",INDEX(Itens!$E$2:$E$501,MATCH(178,Itens!$M$2:$M$501,0))),"")</f>
        <v/>
      </c>
      <c r="D190" s="17">
        <f>IFERROR(IF(INDEX(Itens!$F$2:$F$501,MATCH(178,Itens!$M$2:$M$501,0))="","",INDEX(Itens!$F$2:$F$501,MATCH(178,Itens!$M$2:$M$501,0))),"")</f>
        <v/>
      </c>
      <c r="E190" s="17">
        <f>IFERROR(IF(INDEX(Itens!$G$2:$G$501,MATCH(178,Itens!$M$2:$M$501,0))="","",INDEX(Itens!$G$2:$G$501,MATCH(178,Itens!$M$2:$M$501,0))),"")</f>
        <v/>
      </c>
      <c r="F190" s="17">
        <f>IFERROR(IF(INDEX(Itens!$I$2:$I$501,MATCH(178,Itens!$M$2:$M$501,0))="","",INDEX(Itens!$I$2:$I$501,MATCH(178,Itens!$M$2:$M$501,0))),"")</f>
        <v/>
      </c>
      <c r="G190" s="17">
        <f>IFERROR(IF(INDEX(Itens!$J$2:$J$501,MATCH(178,Itens!$M$2:$M$501,0))="","",INDEX(Itens!$J$2:$J$501,MATCH(178,Itens!$M$2:$M$501,0))),"")</f>
        <v/>
      </c>
      <c r="H190" s="18">
        <f>IFERROR(IF(INDEX(Itens!$K$2:$K$501,MATCH(178,Itens!$M$2:$M$501,0))="","",INDEX(Itens!$K$2:$K$501,MATCH(178,Itens!$M$2:$M$501,0))),"")</f>
        <v/>
      </c>
      <c r="I190" s="17">
        <f>IFERROR(IF(INDEX(Itens!$L$2:$L$501,MATCH(178,Itens!$M$2:$M$501,0))="","",INDEX(Itens!$L$2:$L$501,MATCH(178,Itens!$M$2:$M$501,0))),"")</f>
        <v/>
      </c>
    </row>
    <row r="191">
      <c r="A191" s="17">
        <f>IFERROR(IF(INDEX(Itens!$A$2:$A$501,MATCH(179,Itens!$M$2:$M$501,0))="","",INDEX(Itens!$A$2:$A$501,MATCH(179,Itens!$M$2:$M$501,0))),"")</f>
        <v/>
      </c>
      <c r="B191" s="17">
        <f>IFERROR(IF(INDEX(Itens!$C$2:$C$501,MATCH(179,Itens!$M$2:$M$501,0))="","",INDEX(Itens!$C$2:$C$501,MATCH(179,Itens!$M$2:$M$501,0))),"")</f>
        <v/>
      </c>
      <c r="C191" s="17">
        <f>IFERROR(IF(INDEX(Itens!$E$2:$E$501,MATCH(179,Itens!$M$2:$M$501,0))="","",INDEX(Itens!$E$2:$E$501,MATCH(179,Itens!$M$2:$M$501,0))),"")</f>
        <v/>
      </c>
      <c r="D191" s="17">
        <f>IFERROR(IF(INDEX(Itens!$F$2:$F$501,MATCH(179,Itens!$M$2:$M$501,0))="","",INDEX(Itens!$F$2:$F$501,MATCH(179,Itens!$M$2:$M$501,0))),"")</f>
        <v/>
      </c>
      <c r="E191" s="17">
        <f>IFERROR(IF(INDEX(Itens!$G$2:$G$501,MATCH(179,Itens!$M$2:$M$501,0))="","",INDEX(Itens!$G$2:$G$501,MATCH(179,Itens!$M$2:$M$501,0))),"")</f>
        <v/>
      </c>
      <c r="F191" s="17">
        <f>IFERROR(IF(INDEX(Itens!$I$2:$I$501,MATCH(179,Itens!$M$2:$M$501,0))="","",INDEX(Itens!$I$2:$I$501,MATCH(179,Itens!$M$2:$M$501,0))),"")</f>
        <v/>
      </c>
      <c r="G191" s="17">
        <f>IFERROR(IF(INDEX(Itens!$J$2:$J$501,MATCH(179,Itens!$M$2:$M$501,0))="","",INDEX(Itens!$J$2:$J$501,MATCH(179,Itens!$M$2:$M$501,0))),"")</f>
        <v/>
      </c>
      <c r="H191" s="18">
        <f>IFERROR(IF(INDEX(Itens!$K$2:$K$501,MATCH(179,Itens!$M$2:$M$501,0))="","",INDEX(Itens!$K$2:$K$501,MATCH(179,Itens!$M$2:$M$501,0))),"")</f>
        <v/>
      </c>
      <c r="I191" s="17">
        <f>IFERROR(IF(INDEX(Itens!$L$2:$L$501,MATCH(179,Itens!$M$2:$M$501,0))="","",INDEX(Itens!$L$2:$L$501,MATCH(179,Itens!$M$2:$M$501,0))),"")</f>
        <v/>
      </c>
    </row>
    <row r="192">
      <c r="A192" s="17">
        <f>IFERROR(IF(INDEX(Itens!$A$2:$A$501,MATCH(180,Itens!$M$2:$M$501,0))="","",INDEX(Itens!$A$2:$A$501,MATCH(180,Itens!$M$2:$M$501,0))),"")</f>
        <v/>
      </c>
      <c r="B192" s="17">
        <f>IFERROR(IF(INDEX(Itens!$C$2:$C$501,MATCH(180,Itens!$M$2:$M$501,0))="","",INDEX(Itens!$C$2:$C$501,MATCH(180,Itens!$M$2:$M$501,0))),"")</f>
        <v/>
      </c>
      <c r="C192" s="17">
        <f>IFERROR(IF(INDEX(Itens!$E$2:$E$501,MATCH(180,Itens!$M$2:$M$501,0))="","",INDEX(Itens!$E$2:$E$501,MATCH(180,Itens!$M$2:$M$501,0))),"")</f>
        <v/>
      </c>
      <c r="D192" s="17">
        <f>IFERROR(IF(INDEX(Itens!$F$2:$F$501,MATCH(180,Itens!$M$2:$M$501,0))="","",INDEX(Itens!$F$2:$F$501,MATCH(180,Itens!$M$2:$M$501,0))),"")</f>
        <v/>
      </c>
      <c r="E192" s="17">
        <f>IFERROR(IF(INDEX(Itens!$G$2:$G$501,MATCH(180,Itens!$M$2:$M$501,0))="","",INDEX(Itens!$G$2:$G$501,MATCH(180,Itens!$M$2:$M$501,0))),"")</f>
        <v/>
      </c>
      <c r="F192" s="17">
        <f>IFERROR(IF(INDEX(Itens!$I$2:$I$501,MATCH(180,Itens!$M$2:$M$501,0))="","",INDEX(Itens!$I$2:$I$501,MATCH(180,Itens!$M$2:$M$501,0))),"")</f>
        <v/>
      </c>
      <c r="G192" s="17">
        <f>IFERROR(IF(INDEX(Itens!$J$2:$J$501,MATCH(180,Itens!$M$2:$M$501,0))="","",INDEX(Itens!$J$2:$J$501,MATCH(180,Itens!$M$2:$M$501,0))),"")</f>
        <v/>
      </c>
      <c r="H192" s="18">
        <f>IFERROR(IF(INDEX(Itens!$K$2:$K$501,MATCH(180,Itens!$M$2:$M$501,0))="","",INDEX(Itens!$K$2:$K$501,MATCH(180,Itens!$M$2:$M$501,0))),"")</f>
        <v/>
      </c>
      <c r="I192" s="17">
        <f>IFERROR(IF(INDEX(Itens!$L$2:$L$501,MATCH(180,Itens!$M$2:$M$501,0))="","",INDEX(Itens!$L$2:$L$501,MATCH(180,Itens!$M$2:$M$501,0))),"")</f>
        <v/>
      </c>
    </row>
    <row r="193">
      <c r="A193" s="17">
        <f>IFERROR(IF(INDEX(Itens!$A$2:$A$501,MATCH(181,Itens!$M$2:$M$501,0))="","",INDEX(Itens!$A$2:$A$501,MATCH(181,Itens!$M$2:$M$501,0))),"")</f>
        <v/>
      </c>
      <c r="B193" s="17">
        <f>IFERROR(IF(INDEX(Itens!$C$2:$C$501,MATCH(181,Itens!$M$2:$M$501,0))="","",INDEX(Itens!$C$2:$C$501,MATCH(181,Itens!$M$2:$M$501,0))),"")</f>
        <v/>
      </c>
      <c r="C193" s="17">
        <f>IFERROR(IF(INDEX(Itens!$E$2:$E$501,MATCH(181,Itens!$M$2:$M$501,0))="","",INDEX(Itens!$E$2:$E$501,MATCH(181,Itens!$M$2:$M$501,0))),"")</f>
        <v/>
      </c>
      <c r="D193" s="17">
        <f>IFERROR(IF(INDEX(Itens!$F$2:$F$501,MATCH(181,Itens!$M$2:$M$501,0))="","",INDEX(Itens!$F$2:$F$501,MATCH(181,Itens!$M$2:$M$501,0))),"")</f>
        <v/>
      </c>
      <c r="E193" s="17">
        <f>IFERROR(IF(INDEX(Itens!$G$2:$G$501,MATCH(181,Itens!$M$2:$M$501,0))="","",INDEX(Itens!$G$2:$G$501,MATCH(181,Itens!$M$2:$M$501,0))),"")</f>
        <v/>
      </c>
      <c r="F193" s="17">
        <f>IFERROR(IF(INDEX(Itens!$I$2:$I$501,MATCH(181,Itens!$M$2:$M$501,0))="","",INDEX(Itens!$I$2:$I$501,MATCH(181,Itens!$M$2:$M$501,0))),"")</f>
        <v/>
      </c>
      <c r="G193" s="17">
        <f>IFERROR(IF(INDEX(Itens!$J$2:$J$501,MATCH(181,Itens!$M$2:$M$501,0))="","",INDEX(Itens!$J$2:$J$501,MATCH(181,Itens!$M$2:$M$501,0))),"")</f>
        <v/>
      </c>
      <c r="H193" s="18">
        <f>IFERROR(IF(INDEX(Itens!$K$2:$K$501,MATCH(181,Itens!$M$2:$M$501,0))="","",INDEX(Itens!$K$2:$K$501,MATCH(181,Itens!$M$2:$M$501,0))),"")</f>
        <v/>
      </c>
      <c r="I193" s="17">
        <f>IFERROR(IF(INDEX(Itens!$L$2:$L$501,MATCH(181,Itens!$M$2:$M$501,0))="","",INDEX(Itens!$L$2:$L$501,MATCH(181,Itens!$M$2:$M$501,0))),"")</f>
        <v/>
      </c>
    </row>
    <row r="194">
      <c r="A194" s="17">
        <f>IFERROR(IF(INDEX(Itens!$A$2:$A$501,MATCH(182,Itens!$M$2:$M$501,0))="","",INDEX(Itens!$A$2:$A$501,MATCH(182,Itens!$M$2:$M$501,0))),"")</f>
        <v/>
      </c>
      <c r="B194" s="17">
        <f>IFERROR(IF(INDEX(Itens!$C$2:$C$501,MATCH(182,Itens!$M$2:$M$501,0))="","",INDEX(Itens!$C$2:$C$501,MATCH(182,Itens!$M$2:$M$501,0))),"")</f>
        <v/>
      </c>
      <c r="C194" s="17">
        <f>IFERROR(IF(INDEX(Itens!$E$2:$E$501,MATCH(182,Itens!$M$2:$M$501,0))="","",INDEX(Itens!$E$2:$E$501,MATCH(182,Itens!$M$2:$M$501,0))),"")</f>
        <v/>
      </c>
      <c r="D194" s="17">
        <f>IFERROR(IF(INDEX(Itens!$F$2:$F$501,MATCH(182,Itens!$M$2:$M$501,0))="","",INDEX(Itens!$F$2:$F$501,MATCH(182,Itens!$M$2:$M$501,0))),"")</f>
        <v/>
      </c>
      <c r="E194" s="17">
        <f>IFERROR(IF(INDEX(Itens!$G$2:$G$501,MATCH(182,Itens!$M$2:$M$501,0))="","",INDEX(Itens!$G$2:$G$501,MATCH(182,Itens!$M$2:$M$501,0))),"")</f>
        <v/>
      </c>
      <c r="F194" s="17">
        <f>IFERROR(IF(INDEX(Itens!$I$2:$I$501,MATCH(182,Itens!$M$2:$M$501,0))="","",INDEX(Itens!$I$2:$I$501,MATCH(182,Itens!$M$2:$M$501,0))),"")</f>
        <v/>
      </c>
      <c r="G194" s="17">
        <f>IFERROR(IF(INDEX(Itens!$J$2:$J$501,MATCH(182,Itens!$M$2:$M$501,0))="","",INDEX(Itens!$J$2:$J$501,MATCH(182,Itens!$M$2:$M$501,0))),"")</f>
        <v/>
      </c>
      <c r="H194" s="18">
        <f>IFERROR(IF(INDEX(Itens!$K$2:$K$501,MATCH(182,Itens!$M$2:$M$501,0))="","",INDEX(Itens!$K$2:$K$501,MATCH(182,Itens!$M$2:$M$501,0))),"")</f>
        <v/>
      </c>
      <c r="I194" s="17">
        <f>IFERROR(IF(INDEX(Itens!$L$2:$L$501,MATCH(182,Itens!$M$2:$M$501,0))="","",INDEX(Itens!$L$2:$L$501,MATCH(182,Itens!$M$2:$M$501,0))),"")</f>
        <v/>
      </c>
    </row>
    <row r="195">
      <c r="A195" s="17">
        <f>IFERROR(IF(INDEX(Itens!$A$2:$A$501,MATCH(183,Itens!$M$2:$M$501,0))="","",INDEX(Itens!$A$2:$A$501,MATCH(183,Itens!$M$2:$M$501,0))),"")</f>
        <v/>
      </c>
      <c r="B195" s="17">
        <f>IFERROR(IF(INDEX(Itens!$C$2:$C$501,MATCH(183,Itens!$M$2:$M$501,0))="","",INDEX(Itens!$C$2:$C$501,MATCH(183,Itens!$M$2:$M$501,0))),"")</f>
        <v/>
      </c>
      <c r="C195" s="17">
        <f>IFERROR(IF(INDEX(Itens!$E$2:$E$501,MATCH(183,Itens!$M$2:$M$501,0))="","",INDEX(Itens!$E$2:$E$501,MATCH(183,Itens!$M$2:$M$501,0))),"")</f>
        <v/>
      </c>
      <c r="D195" s="17">
        <f>IFERROR(IF(INDEX(Itens!$F$2:$F$501,MATCH(183,Itens!$M$2:$M$501,0))="","",INDEX(Itens!$F$2:$F$501,MATCH(183,Itens!$M$2:$M$501,0))),"")</f>
        <v/>
      </c>
      <c r="E195" s="17">
        <f>IFERROR(IF(INDEX(Itens!$G$2:$G$501,MATCH(183,Itens!$M$2:$M$501,0))="","",INDEX(Itens!$G$2:$G$501,MATCH(183,Itens!$M$2:$M$501,0))),"")</f>
        <v/>
      </c>
      <c r="F195" s="17">
        <f>IFERROR(IF(INDEX(Itens!$I$2:$I$501,MATCH(183,Itens!$M$2:$M$501,0))="","",INDEX(Itens!$I$2:$I$501,MATCH(183,Itens!$M$2:$M$501,0))),"")</f>
        <v/>
      </c>
      <c r="G195" s="17">
        <f>IFERROR(IF(INDEX(Itens!$J$2:$J$501,MATCH(183,Itens!$M$2:$M$501,0))="","",INDEX(Itens!$J$2:$J$501,MATCH(183,Itens!$M$2:$M$501,0))),"")</f>
        <v/>
      </c>
      <c r="H195" s="18">
        <f>IFERROR(IF(INDEX(Itens!$K$2:$K$501,MATCH(183,Itens!$M$2:$M$501,0))="","",INDEX(Itens!$K$2:$K$501,MATCH(183,Itens!$M$2:$M$501,0))),"")</f>
        <v/>
      </c>
      <c r="I195" s="17">
        <f>IFERROR(IF(INDEX(Itens!$L$2:$L$501,MATCH(183,Itens!$M$2:$M$501,0))="","",INDEX(Itens!$L$2:$L$501,MATCH(183,Itens!$M$2:$M$501,0))),"")</f>
        <v/>
      </c>
    </row>
    <row r="196">
      <c r="A196" s="17">
        <f>IFERROR(IF(INDEX(Itens!$A$2:$A$501,MATCH(184,Itens!$M$2:$M$501,0))="","",INDEX(Itens!$A$2:$A$501,MATCH(184,Itens!$M$2:$M$501,0))),"")</f>
        <v/>
      </c>
      <c r="B196" s="17">
        <f>IFERROR(IF(INDEX(Itens!$C$2:$C$501,MATCH(184,Itens!$M$2:$M$501,0))="","",INDEX(Itens!$C$2:$C$501,MATCH(184,Itens!$M$2:$M$501,0))),"")</f>
        <v/>
      </c>
      <c r="C196" s="17">
        <f>IFERROR(IF(INDEX(Itens!$E$2:$E$501,MATCH(184,Itens!$M$2:$M$501,0))="","",INDEX(Itens!$E$2:$E$501,MATCH(184,Itens!$M$2:$M$501,0))),"")</f>
        <v/>
      </c>
      <c r="D196" s="17">
        <f>IFERROR(IF(INDEX(Itens!$F$2:$F$501,MATCH(184,Itens!$M$2:$M$501,0))="","",INDEX(Itens!$F$2:$F$501,MATCH(184,Itens!$M$2:$M$501,0))),"")</f>
        <v/>
      </c>
      <c r="E196" s="17">
        <f>IFERROR(IF(INDEX(Itens!$G$2:$G$501,MATCH(184,Itens!$M$2:$M$501,0))="","",INDEX(Itens!$G$2:$G$501,MATCH(184,Itens!$M$2:$M$501,0))),"")</f>
        <v/>
      </c>
      <c r="F196" s="17">
        <f>IFERROR(IF(INDEX(Itens!$I$2:$I$501,MATCH(184,Itens!$M$2:$M$501,0))="","",INDEX(Itens!$I$2:$I$501,MATCH(184,Itens!$M$2:$M$501,0))),"")</f>
        <v/>
      </c>
      <c r="G196" s="17">
        <f>IFERROR(IF(INDEX(Itens!$J$2:$J$501,MATCH(184,Itens!$M$2:$M$501,0))="","",INDEX(Itens!$J$2:$J$501,MATCH(184,Itens!$M$2:$M$501,0))),"")</f>
        <v/>
      </c>
      <c r="H196" s="18">
        <f>IFERROR(IF(INDEX(Itens!$K$2:$K$501,MATCH(184,Itens!$M$2:$M$501,0))="","",INDEX(Itens!$K$2:$K$501,MATCH(184,Itens!$M$2:$M$501,0))),"")</f>
        <v/>
      </c>
      <c r="I196" s="17">
        <f>IFERROR(IF(INDEX(Itens!$L$2:$L$501,MATCH(184,Itens!$M$2:$M$501,0))="","",INDEX(Itens!$L$2:$L$501,MATCH(184,Itens!$M$2:$M$501,0))),"")</f>
        <v/>
      </c>
    </row>
    <row r="197">
      <c r="A197" s="17">
        <f>IFERROR(IF(INDEX(Itens!$A$2:$A$501,MATCH(185,Itens!$M$2:$M$501,0))="","",INDEX(Itens!$A$2:$A$501,MATCH(185,Itens!$M$2:$M$501,0))),"")</f>
        <v/>
      </c>
      <c r="B197" s="17">
        <f>IFERROR(IF(INDEX(Itens!$C$2:$C$501,MATCH(185,Itens!$M$2:$M$501,0))="","",INDEX(Itens!$C$2:$C$501,MATCH(185,Itens!$M$2:$M$501,0))),"")</f>
        <v/>
      </c>
      <c r="C197" s="17">
        <f>IFERROR(IF(INDEX(Itens!$E$2:$E$501,MATCH(185,Itens!$M$2:$M$501,0))="","",INDEX(Itens!$E$2:$E$501,MATCH(185,Itens!$M$2:$M$501,0))),"")</f>
        <v/>
      </c>
      <c r="D197" s="17">
        <f>IFERROR(IF(INDEX(Itens!$F$2:$F$501,MATCH(185,Itens!$M$2:$M$501,0))="","",INDEX(Itens!$F$2:$F$501,MATCH(185,Itens!$M$2:$M$501,0))),"")</f>
        <v/>
      </c>
      <c r="E197" s="17">
        <f>IFERROR(IF(INDEX(Itens!$G$2:$G$501,MATCH(185,Itens!$M$2:$M$501,0))="","",INDEX(Itens!$G$2:$G$501,MATCH(185,Itens!$M$2:$M$501,0))),"")</f>
        <v/>
      </c>
      <c r="F197" s="17">
        <f>IFERROR(IF(INDEX(Itens!$I$2:$I$501,MATCH(185,Itens!$M$2:$M$501,0))="","",INDEX(Itens!$I$2:$I$501,MATCH(185,Itens!$M$2:$M$501,0))),"")</f>
        <v/>
      </c>
      <c r="G197" s="17">
        <f>IFERROR(IF(INDEX(Itens!$J$2:$J$501,MATCH(185,Itens!$M$2:$M$501,0))="","",INDEX(Itens!$J$2:$J$501,MATCH(185,Itens!$M$2:$M$501,0))),"")</f>
        <v/>
      </c>
      <c r="H197" s="18">
        <f>IFERROR(IF(INDEX(Itens!$K$2:$K$501,MATCH(185,Itens!$M$2:$M$501,0))="","",INDEX(Itens!$K$2:$K$501,MATCH(185,Itens!$M$2:$M$501,0))),"")</f>
        <v/>
      </c>
      <c r="I197" s="17">
        <f>IFERROR(IF(INDEX(Itens!$L$2:$L$501,MATCH(185,Itens!$M$2:$M$501,0))="","",INDEX(Itens!$L$2:$L$501,MATCH(185,Itens!$M$2:$M$501,0))),"")</f>
        <v/>
      </c>
    </row>
    <row r="198">
      <c r="A198" s="17">
        <f>IFERROR(IF(INDEX(Itens!$A$2:$A$501,MATCH(186,Itens!$M$2:$M$501,0))="","",INDEX(Itens!$A$2:$A$501,MATCH(186,Itens!$M$2:$M$501,0))),"")</f>
        <v/>
      </c>
      <c r="B198" s="17">
        <f>IFERROR(IF(INDEX(Itens!$C$2:$C$501,MATCH(186,Itens!$M$2:$M$501,0))="","",INDEX(Itens!$C$2:$C$501,MATCH(186,Itens!$M$2:$M$501,0))),"")</f>
        <v/>
      </c>
      <c r="C198" s="17">
        <f>IFERROR(IF(INDEX(Itens!$E$2:$E$501,MATCH(186,Itens!$M$2:$M$501,0))="","",INDEX(Itens!$E$2:$E$501,MATCH(186,Itens!$M$2:$M$501,0))),"")</f>
        <v/>
      </c>
      <c r="D198" s="17">
        <f>IFERROR(IF(INDEX(Itens!$F$2:$F$501,MATCH(186,Itens!$M$2:$M$501,0))="","",INDEX(Itens!$F$2:$F$501,MATCH(186,Itens!$M$2:$M$501,0))),"")</f>
        <v/>
      </c>
      <c r="E198" s="17">
        <f>IFERROR(IF(INDEX(Itens!$G$2:$G$501,MATCH(186,Itens!$M$2:$M$501,0))="","",INDEX(Itens!$G$2:$G$501,MATCH(186,Itens!$M$2:$M$501,0))),"")</f>
        <v/>
      </c>
      <c r="F198" s="17">
        <f>IFERROR(IF(INDEX(Itens!$I$2:$I$501,MATCH(186,Itens!$M$2:$M$501,0))="","",INDEX(Itens!$I$2:$I$501,MATCH(186,Itens!$M$2:$M$501,0))),"")</f>
        <v/>
      </c>
      <c r="G198" s="17">
        <f>IFERROR(IF(INDEX(Itens!$J$2:$J$501,MATCH(186,Itens!$M$2:$M$501,0))="","",INDEX(Itens!$J$2:$J$501,MATCH(186,Itens!$M$2:$M$501,0))),"")</f>
        <v/>
      </c>
      <c r="H198" s="18">
        <f>IFERROR(IF(INDEX(Itens!$K$2:$K$501,MATCH(186,Itens!$M$2:$M$501,0))="","",INDEX(Itens!$K$2:$K$501,MATCH(186,Itens!$M$2:$M$501,0))),"")</f>
        <v/>
      </c>
      <c r="I198" s="17">
        <f>IFERROR(IF(INDEX(Itens!$L$2:$L$501,MATCH(186,Itens!$M$2:$M$501,0))="","",INDEX(Itens!$L$2:$L$501,MATCH(186,Itens!$M$2:$M$501,0))),"")</f>
        <v/>
      </c>
    </row>
    <row r="199">
      <c r="A199" s="17">
        <f>IFERROR(IF(INDEX(Itens!$A$2:$A$501,MATCH(187,Itens!$M$2:$M$501,0))="","",INDEX(Itens!$A$2:$A$501,MATCH(187,Itens!$M$2:$M$501,0))),"")</f>
        <v/>
      </c>
      <c r="B199" s="17">
        <f>IFERROR(IF(INDEX(Itens!$C$2:$C$501,MATCH(187,Itens!$M$2:$M$501,0))="","",INDEX(Itens!$C$2:$C$501,MATCH(187,Itens!$M$2:$M$501,0))),"")</f>
        <v/>
      </c>
      <c r="C199" s="17">
        <f>IFERROR(IF(INDEX(Itens!$E$2:$E$501,MATCH(187,Itens!$M$2:$M$501,0))="","",INDEX(Itens!$E$2:$E$501,MATCH(187,Itens!$M$2:$M$501,0))),"")</f>
        <v/>
      </c>
      <c r="D199" s="17">
        <f>IFERROR(IF(INDEX(Itens!$F$2:$F$501,MATCH(187,Itens!$M$2:$M$501,0))="","",INDEX(Itens!$F$2:$F$501,MATCH(187,Itens!$M$2:$M$501,0))),"")</f>
        <v/>
      </c>
      <c r="E199" s="17">
        <f>IFERROR(IF(INDEX(Itens!$G$2:$G$501,MATCH(187,Itens!$M$2:$M$501,0))="","",INDEX(Itens!$G$2:$G$501,MATCH(187,Itens!$M$2:$M$501,0))),"")</f>
        <v/>
      </c>
      <c r="F199" s="17">
        <f>IFERROR(IF(INDEX(Itens!$I$2:$I$501,MATCH(187,Itens!$M$2:$M$501,0))="","",INDEX(Itens!$I$2:$I$501,MATCH(187,Itens!$M$2:$M$501,0))),"")</f>
        <v/>
      </c>
      <c r="G199" s="17">
        <f>IFERROR(IF(INDEX(Itens!$J$2:$J$501,MATCH(187,Itens!$M$2:$M$501,0))="","",INDEX(Itens!$J$2:$J$501,MATCH(187,Itens!$M$2:$M$501,0))),"")</f>
        <v/>
      </c>
      <c r="H199" s="18">
        <f>IFERROR(IF(INDEX(Itens!$K$2:$K$501,MATCH(187,Itens!$M$2:$M$501,0))="","",INDEX(Itens!$K$2:$K$501,MATCH(187,Itens!$M$2:$M$501,0))),"")</f>
        <v/>
      </c>
      <c r="I199" s="17">
        <f>IFERROR(IF(INDEX(Itens!$L$2:$L$501,MATCH(187,Itens!$M$2:$M$501,0))="","",INDEX(Itens!$L$2:$L$501,MATCH(187,Itens!$M$2:$M$501,0))),"")</f>
        <v/>
      </c>
    </row>
    <row r="200">
      <c r="A200" s="17">
        <f>IFERROR(IF(INDEX(Itens!$A$2:$A$501,MATCH(188,Itens!$M$2:$M$501,0))="","",INDEX(Itens!$A$2:$A$501,MATCH(188,Itens!$M$2:$M$501,0))),"")</f>
        <v/>
      </c>
      <c r="B200" s="17">
        <f>IFERROR(IF(INDEX(Itens!$C$2:$C$501,MATCH(188,Itens!$M$2:$M$501,0))="","",INDEX(Itens!$C$2:$C$501,MATCH(188,Itens!$M$2:$M$501,0))),"")</f>
        <v/>
      </c>
      <c r="C200" s="17">
        <f>IFERROR(IF(INDEX(Itens!$E$2:$E$501,MATCH(188,Itens!$M$2:$M$501,0))="","",INDEX(Itens!$E$2:$E$501,MATCH(188,Itens!$M$2:$M$501,0))),"")</f>
        <v/>
      </c>
      <c r="D200" s="17">
        <f>IFERROR(IF(INDEX(Itens!$F$2:$F$501,MATCH(188,Itens!$M$2:$M$501,0))="","",INDEX(Itens!$F$2:$F$501,MATCH(188,Itens!$M$2:$M$501,0))),"")</f>
        <v/>
      </c>
      <c r="E200" s="17">
        <f>IFERROR(IF(INDEX(Itens!$G$2:$G$501,MATCH(188,Itens!$M$2:$M$501,0))="","",INDEX(Itens!$G$2:$G$501,MATCH(188,Itens!$M$2:$M$501,0))),"")</f>
        <v/>
      </c>
      <c r="F200" s="17">
        <f>IFERROR(IF(INDEX(Itens!$I$2:$I$501,MATCH(188,Itens!$M$2:$M$501,0))="","",INDEX(Itens!$I$2:$I$501,MATCH(188,Itens!$M$2:$M$501,0))),"")</f>
        <v/>
      </c>
      <c r="G200" s="17">
        <f>IFERROR(IF(INDEX(Itens!$J$2:$J$501,MATCH(188,Itens!$M$2:$M$501,0))="","",INDEX(Itens!$J$2:$J$501,MATCH(188,Itens!$M$2:$M$501,0))),"")</f>
        <v/>
      </c>
      <c r="H200" s="18">
        <f>IFERROR(IF(INDEX(Itens!$K$2:$K$501,MATCH(188,Itens!$M$2:$M$501,0))="","",INDEX(Itens!$K$2:$K$501,MATCH(188,Itens!$M$2:$M$501,0))),"")</f>
        <v/>
      </c>
      <c r="I200" s="17">
        <f>IFERROR(IF(INDEX(Itens!$L$2:$L$501,MATCH(188,Itens!$M$2:$M$501,0))="","",INDEX(Itens!$L$2:$L$501,MATCH(188,Itens!$M$2:$M$501,0))),"")</f>
        <v/>
      </c>
    </row>
    <row r="201">
      <c r="A201" s="17">
        <f>IFERROR(IF(INDEX(Itens!$A$2:$A$501,MATCH(189,Itens!$M$2:$M$501,0))="","",INDEX(Itens!$A$2:$A$501,MATCH(189,Itens!$M$2:$M$501,0))),"")</f>
        <v/>
      </c>
      <c r="B201" s="17">
        <f>IFERROR(IF(INDEX(Itens!$C$2:$C$501,MATCH(189,Itens!$M$2:$M$501,0))="","",INDEX(Itens!$C$2:$C$501,MATCH(189,Itens!$M$2:$M$501,0))),"")</f>
        <v/>
      </c>
      <c r="C201" s="17">
        <f>IFERROR(IF(INDEX(Itens!$E$2:$E$501,MATCH(189,Itens!$M$2:$M$501,0))="","",INDEX(Itens!$E$2:$E$501,MATCH(189,Itens!$M$2:$M$501,0))),"")</f>
        <v/>
      </c>
      <c r="D201" s="17">
        <f>IFERROR(IF(INDEX(Itens!$F$2:$F$501,MATCH(189,Itens!$M$2:$M$501,0))="","",INDEX(Itens!$F$2:$F$501,MATCH(189,Itens!$M$2:$M$501,0))),"")</f>
        <v/>
      </c>
      <c r="E201" s="17">
        <f>IFERROR(IF(INDEX(Itens!$G$2:$G$501,MATCH(189,Itens!$M$2:$M$501,0))="","",INDEX(Itens!$G$2:$G$501,MATCH(189,Itens!$M$2:$M$501,0))),"")</f>
        <v/>
      </c>
      <c r="F201" s="17">
        <f>IFERROR(IF(INDEX(Itens!$I$2:$I$501,MATCH(189,Itens!$M$2:$M$501,0))="","",INDEX(Itens!$I$2:$I$501,MATCH(189,Itens!$M$2:$M$501,0))),"")</f>
        <v/>
      </c>
      <c r="G201" s="17">
        <f>IFERROR(IF(INDEX(Itens!$J$2:$J$501,MATCH(189,Itens!$M$2:$M$501,0))="","",INDEX(Itens!$J$2:$J$501,MATCH(189,Itens!$M$2:$M$501,0))),"")</f>
        <v/>
      </c>
      <c r="H201" s="18">
        <f>IFERROR(IF(INDEX(Itens!$K$2:$K$501,MATCH(189,Itens!$M$2:$M$501,0))="","",INDEX(Itens!$K$2:$K$501,MATCH(189,Itens!$M$2:$M$501,0))),"")</f>
        <v/>
      </c>
      <c r="I201" s="17">
        <f>IFERROR(IF(INDEX(Itens!$L$2:$L$501,MATCH(189,Itens!$M$2:$M$501,0))="","",INDEX(Itens!$L$2:$L$501,MATCH(189,Itens!$M$2:$M$501,0))),"")</f>
        <v/>
      </c>
    </row>
    <row r="202">
      <c r="A202" s="17">
        <f>IFERROR(IF(INDEX(Itens!$A$2:$A$501,MATCH(190,Itens!$M$2:$M$501,0))="","",INDEX(Itens!$A$2:$A$501,MATCH(190,Itens!$M$2:$M$501,0))),"")</f>
        <v/>
      </c>
      <c r="B202" s="17">
        <f>IFERROR(IF(INDEX(Itens!$C$2:$C$501,MATCH(190,Itens!$M$2:$M$501,0))="","",INDEX(Itens!$C$2:$C$501,MATCH(190,Itens!$M$2:$M$501,0))),"")</f>
        <v/>
      </c>
      <c r="C202" s="17">
        <f>IFERROR(IF(INDEX(Itens!$E$2:$E$501,MATCH(190,Itens!$M$2:$M$501,0))="","",INDEX(Itens!$E$2:$E$501,MATCH(190,Itens!$M$2:$M$501,0))),"")</f>
        <v/>
      </c>
      <c r="D202" s="17">
        <f>IFERROR(IF(INDEX(Itens!$F$2:$F$501,MATCH(190,Itens!$M$2:$M$501,0))="","",INDEX(Itens!$F$2:$F$501,MATCH(190,Itens!$M$2:$M$501,0))),"")</f>
        <v/>
      </c>
      <c r="E202" s="17">
        <f>IFERROR(IF(INDEX(Itens!$G$2:$G$501,MATCH(190,Itens!$M$2:$M$501,0))="","",INDEX(Itens!$G$2:$G$501,MATCH(190,Itens!$M$2:$M$501,0))),"")</f>
        <v/>
      </c>
      <c r="F202" s="17">
        <f>IFERROR(IF(INDEX(Itens!$I$2:$I$501,MATCH(190,Itens!$M$2:$M$501,0))="","",INDEX(Itens!$I$2:$I$501,MATCH(190,Itens!$M$2:$M$501,0))),"")</f>
        <v/>
      </c>
      <c r="G202" s="17">
        <f>IFERROR(IF(INDEX(Itens!$J$2:$J$501,MATCH(190,Itens!$M$2:$M$501,0))="","",INDEX(Itens!$J$2:$J$501,MATCH(190,Itens!$M$2:$M$501,0))),"")</f>
        <v/>
      </c>
      <c r="H202" s="18">
        <f>IFERROR(IF(INDEX(Itens!$K$2:$K$501,MATCH(190,Itens!$M$2:$M$501,0))="","",INDEX(Itens!$K$2:$K$501,MATCH(190,Itens!$M$2:$M$501,0))),"")</f>
        <v/>
      </c>
      <c r="I202" s="17">
        <f>IFERROR(IF(INDEX(Itens!$L$2:$L$501,MATCH(190,Itens!$M$2:$M$501,0))="","",INDEX(Itens!$L$2:$L$501,MATCH(190,Itens!$M$2:$M$501,0))),"")</f>
        <v/>
      </c>
    </row>
    <row r="203">
      <c r="A203" s="17">
        <f>IFERROR(IF(INDEX(Itens!$A$2:$A$501,MATCH(191,Itens!$M$2:$M$501,0))="","",INDEX(Itens!$A$2:$A$501,MATCH(191,Itens!$M$2:$M$501,0))),"")</f>
        <v/>
      </c>
      <c r="B203" s="17">
        <f>IFERROR(IF(INDEX(Itens!$C$2:$C$501,MATCH(191,Itens!$M$2:$M$501,0))="","",INDEX(Itens!$C$2:$C$501,MATCH(191,Itens!$M$2:$M$501,0))),"")</f>
        <v/>
      </c>
      <c r="C203" s="17">
        <f>IFERROR(IF(INDEX(Itens!$E$2:$E$501,MATCH(191,Itens!$M$2:$M$501,0))="","",INDEX(Itens!$E$2:$E$501,MATCH(191,Itens!$M$2:$M$501,0))),"")</f>
        <v/>
      </c>
      <c r="D203" s="17">
        <f>IFERROR(IF(INDEX(Itens!$F$2:$F$501,MATCH(191,Itens!$M$2:$M$501,0))="","",INDEX(Itens!$F$2:$F$501,MATCH(191,Itens!$M$2:$M$501,0))),"")</f>
        <v/>
      </c>
      <c r="E203" s="17">
        <f>IFERROR(IF(INDEX(Itens!$G$2:$G$501,MATCH(191,Itens!$M$2:$M$501,0))="","",INDEX(Itens!$G$2:$G$501,MATCH(191,Itens!$M$2:$M$501,0))),"")</f>
        <v/>
      </c>
      <c r="F203" s="17">
        <f>IFERROR(IF(INDEX(Itens!$I$2:$I$501,MATCH(191,Itens!$M$2:$M$501,0))="","",INDEX(Itens!$I$2:$I$501,MATCH(191,Itens!$M$2:$M$501,0))),"")</f>
        <v/>
      </c>
      <c r="G203" s="17">
        <f>IFERROR(IF(INDEX(Itens!$J$2:$J$501,MATCH(191,Itens!$M$2:$M$501,0))="","",INDEX(Itens!$J$2:$J$501,MATCH(191,Itens!$M$2:$M$501,0))),"")</f>
        <v/>
      </c>
      <c r="H203" s="18">
        <f>IFERROR(IF(INDEX(Itens!$K$2:$K$501,MATCH(191,Itens!$M$2:$M$501,0))="","",INDEX(Itens!$K$2:$K$501,MATCH(191,Itens!$M$2:$M$501,0))),"")</f>
        <v/>
      </c>
      <c r="I203" s="17">
        <f>IFERROR(IF(INDEX(Itens!$L$2:$L$501,MATCH(191,Itens!$M$2:$M$501,0))="","",INDEX(Itens!$L$2:$L$501,MATCH(191,Itens!$M$2:$M$501,0))),"")</f>
        <v/>
      </c>
    </row>
    <row r="204">
      <c r="A204" s="17">
        <f>IFERROR(IF(INDEX(Itens!$A$2:$A$501,MATCH(192,Itens!$M$2:$M$501,0))="","",INDEX(Itens!$A$2:$A$501,MATCH(192,Itens!$M$2:$M$501,0))),"")</f>
        <v/>
      </c>
      <c r="B204" s="17">
        <f>IFERROR(IF(INDEX(Itens!$C$2:$C$501,MATCH(192,Itens!$M$2:$M$501,0))="","",INDEX(Itens!$C$2:$C$501,MATCH(192,Itens!$M$2:$M$501,0))),"")</f>
        <v/>
      </c>
      <c r="C204" s="17">
        <f>IFERROR(IF(INDEX(Itens!$E$2:$E$501,MATCH(192,Itens!$M$2:$M$501,0))="","",INDEX(Itens!$E$2:$E$501,MATCH(192,Itens!$M$2:$M$501,0))),"")</f>
        <v/>
      </c>
      <c r="D204" s="17">
        <f>IFERROR(IF(INDEX(Itens!$F$2:$F$501,MATCH(192,Itens!$M$2:$M$501,0))="","",INDEX(Itens!$F$2:$F$501,MATCH(192,Itens!$M$2:$M$501,0))),"")</f>
        <v/>
      </c>
      <c r="E204" s="17">
        <f>IFERROR(IF(INDEX(Itens!$G$2:$G$501,MATCH(192,Itens!$M$2:$M$501,0))="","",INDEX(Itens!$G$2:$G$501,MATCH(192,Itens!$M$2:$M$501,0))),"")</f>
        <v/>
      </c>
      <c r="F204" s="17">
        <f>IFERROR(IF(INDEX(Itens!$I$2:$I$501,MATCH(192,Itens!$M$2:$M$501,0))="","",INDEX(Itens!$I$2:$I$501,MATCH(192,Itens!$M$2:$M$501,0))),"")</f>
        <v/>
      </c>
      <c r="G204" s="17">
        <f>IFERROR(IF(INDEX(Itens!$J$2:$J$501,MATCH(192,Itens!$M$2:$M$501,0))="","",INDEX(Itens!$J$2:$J$501,MATCH(192,Itens!$M$2:$M$501,0))),"")</f>
        <v/>
      </c>
      <c r="H204" s="18">
        <f>IFERROR(IF(INDEX(Itens!$K$2:$K$501,MATCH(192,Itens!$M$2:$M$501,0))="","",INDEX(Itens!$K$2:$K$501,MATCH(192,Itens!$M$2:$M$501,0))),"")</f>
        <v/>
      </c>
      <c r="I204" s="17">
        <f>IFERROR(IF(INDEX(Itens!$L$2:$L$501,MATCH(192,Itens!$M$2:$M$501,0))="","",INDEX(Itens!$L$2:$L$501,MATCH(192,Itens!$M$2:$M$501,0))),"")</f>
        <v/>
      </c>
    </row>
    <row r="205">
      <c r="A205" s="17">
        <f>IFERROR(IF(INDEX(Itens!$A$2:$A$501,MATCH(193,Itens!$M$2:$M$501,0))="","",INDEX(Itens!$A$2:$A$501,MATCH(193,Itens!$M$2:$M$501,0))),"")</f>
        <v/>
      </c>
      <c r="B205" s="17">
        <f>IFERROR(IF(INDEX(Itens!$C$2:$C$501,MATCH(193,Itens!$M$2:$M$501,0))="","",INDEX(Itens!$C$2:$C$501,MATCH(193,Itens!$M$2:$M$501,0))),"")</f>
        <v/>
      </c>
      <c r="C205" s="17">
        <f>IFERROR(IF(INDEX(Itens!$E$2:$E$501,MATCH(193,Itens!$M$2:$M$501,0))="","",INDEX(Itens!$E$2:$E$501,MATCH(193,Itens!$M$2:$M$501,0))),"")</f>
        <v/>
      </c>
      <c r="D205" s="17">
        <f>IFERROR(IF(INDEX(Itens!$F$2:$F$501,MATCH(193,Itens!$M$2:$M$501,0))="","",INDEX(Itens!$F$2:$F$501,MATCH(193,Itens!$M$2:$M$501,0))),"")</f>
        <v/>
      </c>
      <c r="E205" s="17">
        <f>IFERROR(IF(INDEX(Itens!$G$2:$G$501,MATCH(193,Itens!$M$2:$M$501,0))="","",INDEX(Itens!$G$2:$G$501,MATCH(193,Itens!$M$2:$M$501,0))),"")</f>
        <v/>
      </c>
      <c r="F205" s="17">
        <f>IFERROR(IF(INDEX(Itens!$I$2:$I$501,MATCH(193,Itens!$M$2:$M$501,0))="","",INDEX(Itens!$I$2:$I$501,MATCH(193,Itens!$M$2:$M$501,0))),"")</f>
        <v/>
      </c>
      <c r="G205" s="17">
        <f>IFERROR(IF(INDEX(Itens!$J$2:$J$501,MATCH(193,Itens!$M$2:$M$501,0))="","",INDEX(Itens!$J$2:$J$501,MATCH(193,Itens!$M$2:$M$501,0))),"")</f>
        <v/>
      </c>
      <c r="H205" s="18">
        <f>IFERROR(IF(INDEX(Itens!$K$2:$K$501,MATCH(193,Itens!$M$2:$M$501,0))="","",INDEX(Itens!$K$2:$K$501,MATCH(193,Itens!$M$2:$M$501,0))),"")</f>
        <v/>
      </c>
      <c r="I205" s="17">
        <f>IFERROR(IF(INDEX(Itens!$L$2:$L$501,MATCH(193,Itens!$M$2:$M$501,0))="","",INDEX(Itens!$L$2:$L$501,MATCH(193,Itens!$M$2:$M$501,0))),"")</f>
        <v/>
      </c>
    </row>
    <row r="206">
      <c r="A206" s="17">
        <f>IFERROR(IF(INDEX(Itens!$A$2:$A$501,MATCH(194,Itens!$M$2:$M$501,0))="","",INDEX(Itens!$A$2:$A$501,MATCH(194,Itens!$M$2:$M$501,0))),"")</f>
        <v/>
      </c>
      <c r="B206" s="17">
        <f>IFERROR(IF(INDEX(Itens!$C$2:$C$501,MATCH(194,Itens!$M$2:$M$501,0))="","",INDEX(Itens!$C$2:$C$501,MATCH(194,Itens!$M$2:$M$501,0))),"")</f>
        <v/>
      </c>
      <c r="C206" s="17">
        <f>IFERROR(IF(INDEX(Itens!$E$2:$E$501,MATCH(194,Itens!$M$2:$M$501,0))="","",INDEX(Itens!$E$2:$E$501,MATCH(194,Itens!$M$2:$M$501,0))),"")</f>
        <v/>
      </c>
      <c r="D206" s="17">
        <f>IFERROR(IF(INDEX(Itens!$F$2:$F$501,MATCH(194,Itens!$M$2:$M$501,0))="","",INDEX(Itens!$F$2:$F$501,MATCH(194,Itens!$M$2:$M$501,0))),"")</f>
        <v/>
      </c>
      <c r="E206" s="17">
        <f>IFERROR(IF(INDEX(Itens!$G$2:$G$501,MATCH(194,Itens!$M$2:$M$501,0))="","",INDEX(Itens!$G$2:$G$501,MATCH(194,Itens!$M$2:$M$501,0))),"")</f>
        <v/>
      </c>
      <c r="F206" s="17">
        <f>IFERROR(IF(INDEX(Itens!$I$2:$I$501,MATCH(194,Itens!$M$2:$M$501,0))="","",INDEX(Itens!$I$2:$I$501,MATCH(194,Itens!$M$2:$M$501,0))),"")</f>
        <v/>
      </c>
      <c r="G206" s="17">
        <f>IFERROR(IF(INDEX(Itens!$J$2:$J$501,MATCH(194,Itens!$M$2:$M$501,0))="","",INDEX(Itens!$J$2:$J$501,MATCH(194,Itens!$M$2:$M$501,0))),"")</f>
        <v/>
      </c>
      <c r="H206" s="18">
        <f>IFERROR(IF(INDEX(Itens!$K$2:$K$501,MATCH(194,Itens!$M$2:$M$501,0))="","",INDEX(Itens!$K$2:$K$501,MATCH(194,Itens!$M$2:$M$501,0))),"")</f>
        <v/>
      </c>
      <c r="I206" s="17">
        <f>IFERROR(IF(INDEX(Itens!$L$2:$L$501,MATCH(194,Itens!$M$2:$M$501,0))="","",INDEX(Itens!$L$2:$L$501,MATCH(194,Itens!$M$2:$M$501,0))),"")</f>
        <v/>
      </c>
    </row>
    <row r="207">
      <c r="A207" s="17">
        <f>IFERROR(IF(INDEX(Itens!$A$2:$A$501,MATCH(195,Itens!$M$2:$M$501,0))="","",INDEX(Itens!$A$2:$A$501,MATCH(195,Itens!$M$2:$M$501,0))),"")</f>
        <v/>
      </c>
      <c r="B207" s="17">
        <f>IFERROR(IF(INDEX(Itens!$C$2:$C$501,MATCH(195,Itens!$M$2:$M$501,0))="","",INDEX(Itens!$C$2:$C$501,MATCH(195,Itens!$M$2:$M$501,0))),"")</f>
        <v/>
      </c>
      <c r="C207" s="17">
        <f>IFERROR(IF(INDEX(Itens!$E$2:$E$501,MATCH(195,Itens!$M$2:$M$501,0))="","",INDEX(Itens!$E$2:$E$501,MATCH(195,Itens!$M$2:$M$501,0))),"")</f>
        <v/>
      </c>
      <c r="D207" s="17">
        <f>IFERROR(IF(INDEX(Itens!$F$2:$F$501,MATCH(195,Itens!$M$2:$M$501,0))="","",INDEX(Itens!$F$2:$F$501,MATCH(195,Itens!$M$2:$M$501,0))),"")</f>
        <v/>
      </c>
      <c r="E207" s="17">
        <f>IFERROR(IF(INDEX(Itens!$G$2:$G$501,MATCH(195,Itens!$M$2:$M$501,0))="","",INDEX(Itens!$G$2:$G$501,MATCH(195,Itens!$M$2:$M$501,0))),"")</f>
        <v/>
      </c>
      <c r="F207" s="17">
        <f>IFERROR(IF(INDEX(Itens!$I$2:$I$501,MATCH(195,Itens!$M$2:$M$501,0))="","",INDEX(Itens!$I$2:$I$501,MATCH(195,Itens!$M$2:$M$501,0))),"")</f>
        <v/>
      </c>
      <c r="G207" s="17">
        <f>IFERROR(IF(INDEX(Itens!$J$2:$J$501,MATCH(195,Itens!$M$2:$M$501,0))="","",INDEX(Itens!$J$2:$J$501,MATCH(195,Itens!$M$2:$M$501,0))),"")</f>
        <v/>
      </c>
      <c r="H207" s="18">
        <f>IFERROR(IF(INDEX(Itens!$K$2:$K$501,MATCH(195,Itens!$M$2:$M$501,0))="","",INDEX(Itens!$K$2:$K$501,MATCH(195,Itens!$M$2:$M$501,0))),"")</f>
        <v/>
      </c>
      <c r="I207" s="17">
        <f>IFERROR(IF(INDEX(Itens!$L$2:$L$501,MATCH(195,Itens!$M$2:$M$501,0))="","",INDEX(Itens!$L$2:$L$501,MATCH(195,Itens!$M$2:$M$501,0))),"")</f>
        <v/>
      </c>
    </row>
    <row r="208">
      <c r="A208" s="17">
        <f>IFERROR(IF(INDEX(Itens!$A$2:$A$501,MATCH(196,Itens!$M$2:$M$501,0))="","",INDEX(Itens!$A$2:$A$501,MATCH(196,Itens!$M$2:$M$501,0))),"")</f>
        <v/>
      </c>
      <c r="B208" s="17">
        <f>IFERROR(IF(INDEX(Itens!$C$2:$C$501,MATCH(196,Itens!$M$2:$M$501,0))="","",INDEX(Itens!$C$2:$C$501,MATCH(196,Itens!$M$2:$M$501,0))),"")</f>
        <v/>
      </c>
      <c r="C208" s="17">
        <f>IFERROR(IF(INDEX(Itens!$E$2:$E$501,MATCH(196,Itens!$M$2:$M$501,0))="","",INDEX(Itens!$E$2:$E$501,MATCH(196,Itens!$M$2:$M$501,0))),"")</f>
        <v/>
      </c>
      <c r="D208" s="17">
        <f>IFERROR(IF(INDEX(Itens!$F$2:$F$501,MATCH(196,Itens!$M$2:$M$501,0))="","",INDEX(Itens!$F$2:$F$501,MATCH(196,Itens!$M$2:$M$501,0))),"")</f>
        <v/>
      </c>
      <c r="E208" s="17">
        <f>IFERROR(IF(INDEX(Itens!$G$2:$G$501,MATCH(196,Itens!$M$2:$M$501,0))="","",INDEX(Itens!$G$2:$G$501,MATCH(196,Itens!$M$2:$M$501,0))),"")</f>
        <v/>
      </c>
      <c r="F208" s="17">
        <f>IFERROR(IF(INDEX(Itens!$I$2:$I$501,MATCH(196,Itens!$M$2:$M$501,0))="","",INDEX(Itens!$I$2:$I$501,MATCH(196,Itens!$M$2:$M$501,0))),"")</f>
        <v/>
      </c>
      <c r="G208" s="17">
        <f>IFERROR(IF(INDEX(Itens!$J$2:$J$501,MATCH(196,Itens!$M$2:$M$501,0))="","",INDEX(Itens!$J$2:$J$501,MATCH(196,Itens!$M$2:$M$501,0))),"")</f>
        <v/>
      </c>
      <c r="H208" s="18">
        <f>IFERROR(IF(INDEX(Itens!$K$2:$K$501,MATCH(196,Itens!$M$2:$M$501,0))="","",INDEX(Itens!$K$2:$K$501,MATCH(196,Itens!$M$2:$M$501,0))),"")</f>
        <v/>
      </c>
      <c r="I208" s="17">
        <f>IFERROR(IF(INDEX(Itens!$L$2:$L$501,MATCH(196,Itens!$M$2:$M$501,0))="","",INDEX(Itens!$L$2:$L$501,MATCH(196,Itens!$M$2:$M$501,0))),"")</f>
        <v/>
      </c>
    </row>
    <row r="209">
      <c r="A209" s="17">
        <f>IFERROR(IF(INDEX(Itens!$A$2:$A$501,MATCH(197,Itens!$M$2:$M$501,0))="","",INDEX(Itens!$A$2:$A$501,MATCH(197,Itens!$M$2:$M$501,0))),"")</f>
        <v/>
      </c>
      <c r="B209" s="17">
        <f>IFERROR(IF(INDEX(Itens!$C$2:$C$501,MATCH(197,Itens!$M$2:$M$501,0))="","",INDEX(Itens!$C$2:$C$501,MATCH(197,Itens!$M$2:$M$501,0))),"")</f>
        <v/>
      </c>
      <c r="C209" s="17">
        <f>IFERROR(IF(INDEX(Itens!$E$2:$E$501,MATCH(197,Itens!$M$2:$M$501,0))="","",INDEX(Itens!$E$2:$E$501,MATCH(197,Itens!$M$2:$M$501,0))),"")</f>
        <v/>
      </c>
      <c r="D209" s="17">
        <f>IFERROR(IF(INDEX(Itens!$F$2:$F$501,MATCH(197,Itens!$M$2:$M$501,0))="","",INDEX(Itens!$F$2:$F$501,MATCH(197,Itens!$M$2:$M$501,0))),"")</f>
        <v/>
      </c>
      <c r="E209" s="17">
        <f>IFERROR(IF(INDEX(Itens!$G$2:$G$501,MATCH(197,Itens!$M$2:$M$501,0))="","",INDEX(Itens!$G$2:$G$501,MATCH(197,Itens!$M$2:$M$501,0))),"")</f>
        <v/>
      </c>
      <c r="F209" s="17">
        <f>IFERROR(IF(INDEX(Itens!$I$2:$I$501,MATCH(197,Itens!$M$2:$M$501,0))="","",INDEX(Itens!$I$2:$I$501,MATCH(197,Itens!$M$2:$M$501,0))),"")</f>
        <v/>
      </c>
      <c r="G209" s="17">
        <f>IFERROR(IF(INDEX(Itens!$J$2:$J$501,MATCH(197,Itens!$M$2:$M$501,0))="","",INDEX(Itens!$J$2:$J$501,MATCH(197,Itens!$M$2:$M$501,0))),"")</f>
        <v/>
      </c>
      <c r="H209" s="18">
        <f>IFERROR(IF(INDEX(Itens!$K$2:$K$501,MATCH(197,Itens!$M$2:$M$501,0))="","",INDEX(Itens!$K$2:$K$501,MATCH(197,Itens!$M$2:$M$501,0))),"")</f>
        <v/>
      </c>
      <c r="I209" s="17">
        <f>IFERROR(IF(INDEX(Itens!$L$2:$L$501,MATCH(197,Itens!$M$2:$M$501,0))="","",INDEX(Itens!$L$2:$L$501,MATCH(197,Itens!$M$2:$M$501,0))),"")</f>
        <v/>
      </c>
    </row>
    <row r="210">
      <c r="A210" s="17">
        <f>IFERROR(IF(INDEX(Itens!$A$2:$A$501,MATCH(198,Itens!$M$2:$M$501,0))="","",INDEX(Itens!$A$2:$A$501,MATCH(198,Itens!$M$2:$M$501,0))),"")</f>
        <v/>
      </c>
      <c r="B210" s="17">
        <f>IFERROR(IF(INDEX(Itens!$C$2:$C$501,MATCH(198,Itens!$M$2:$M$501,0))="","",INDEX(Itens!$C$2:$C$501,MATCH(198,Itens!$M$2:$M$501,0))),"")</f>
        <v/>
      </c>
      <c r="C210" s="17">
        <f>IFERROR(IF(INDEX(Itens!$E$2:$E$501,MATCH(198,Itens!$M$2:$M$501,0))="","",INDEX(Itens!$E$2:$E$501,MATCH(198,Itens!$M$2:$M$501,0))),"")</f>
        <v/>
      </c>
      <c r="D210" s="17">
        <f>IFERROR(IF(INDEX(Itens!$F$2:$F$501,MATCH(198,Itens!$M$2:$M$501,0))="","",INDEX(Itens!$F$2:$F$501,MATCH(198,Itens!$M$2:$M$501,0))),"")</f>
        <v/>
      </c>
      <c r="E210" s="17">
        <f>IFERROR(IF(INDEX(Itens!$G$2:$G$501,MATCH(198,Itens!$M$2:$M$501,0))="","",INDEX(Itens!$G$2:$G$501,MATCH(198,Itens!$M$2:$M$501,0))),"")</f>
        <v/>
      </c>
      <c r="F210" s="17">
        <f>IFERROR(IF(INDEX(Itens!$I$2:$I$501,MATCH(198,Itens!$M$2:$M$501,0))="","",INDEX(Itens!$I$2:$I$501,MATCH(198,Itens!$M$2:$M$501,0))),"")</f>
        <v/>
      </c>
      <c r="G210" s="17">
        <f>IFERROR(IF(INDEX(Itens!$J$2:$J$501,MATCH(198,Itens!$M$2:$M$501,0))="","",INDEX(Itens!$J$2:$J$501,MATCH(198,Itens!$M$2:$M$501,0))),"")</f>
        <v/>
      </c>
      <c r="H210" s="18">
        <f>IFERROR(IF(INDEX(Itens!$K$2:$K$501,MATCH(198,Itens!$M$2:$M$501,0))="","",INDEX(Itens!$K$2:$K$501,MATCH(198,Itens!$M$2:$M$501,0))),"")</f>
        <v/>
      </c>
      <c r="I210" s="17">
        <f>IFERROR(IF(INDEX(Itens!$L$2:$L$501,MATCH(198,Itens!$M$2:$M$501,0))="","",INDEX(Itens!$L$2:$L$501,MATCH(198,Itens!$M$2:$M$501,0))),"")</f>
        <v/>
      </c>
    </row>
    <row r="211">
      <c r="A211" s="17">
        <f>IFERROR(IF(INDEX(Itens!$A$2:$A$501,MATCH(199,Itens!$M$2:$M$501,0))="","",INDEX(Itens!$A$2:$A$501,MATCH(199,Itens!$M$2:$M$501,0))),"")</f>
        <v/>
      </c>
      <c r="B211" s="17">
        <f>IFERROR(IF(INDEX(Itens!$C$2:$C$501,MATCH(199,Itens!$M$2:$M$501,0))="","",INDEX(Itens!$C$2:$C$501,MATCH(199,Itens!$M$2:$M$501,0))),"")</f>
        <v/>
      </c>
      <c r="C211" s="17">
        <f>IFERROR(IF(INDEX(Itens!$E$2:$E$501,MATCH(199,Itens!$M$2:$M$501,0))="","",INDEX(Itens!$E$2:$E$501,MATCH(199,Itens!$M$2:$M$501,0))),"")</f>
        <v/>
      </c>
      <c r="D211" s="17">
        <f>IFERROR(IF(INDEX(Itens!$F$2:$F$501,MATCH(199,Itens!$M$2:$M$501,0))="","",INDEX(Itens!$F$2:$F$501,MATCH(199,Itens!$M$2:$M$501,0))),"")</f>
        <v/>
      </c>
      <c r="E211" s="17">
        <f>IFERROR(IF(INDEX(Itens!$G$2:$G$501,MATCH(199,Itens!$M$2:$M$501,0))="","",INDEX(Itens!$G$2:$G$501,MATCH(199,Itens!$M$2:$M$501,0))),"")</f>
        <v/>
      </c>
      <c r="F211" s="17">
        <f>IFERROR(IF(INDEX(Itens!$I$2:$I$501,MATCH(199,Itens!$M$2:$M$501,0))="","",INDEX(Itens!$I$2:$I$501,MATCH(199,Itens!$M$2:$M$501,0))),"")</f>
        <v/>
      </c>
      <c r="G211" s="17">
        <f>IFERROR(IF(INDEX(Itens!$J$2:$J$501,MATCH(199,Itens!$M$2:$M$501,0))="","",INDEX(Itens!$J$2:$J$501,MATCH(199,Itens!$M$2:$M$501,0))),"")</f>
        <v/>
      </c>
      <c r="H211" s="18">
        <f>IFERROR(IF(INDEX(Itens!$K$2:$K$501,MATCH(199,Itens!$M$2:$M$501,0))="","",INDEX(Itens!$K$2:$K$501,MATCH(199,Itens!$M$2:$M$501,0))),"")</f>
        <v/>
      </c>
      <c r="I211" s="17">
        <f>IFERROR(IF(INDEX(Itens!$L$2:$L$501,MATCH(199,Itens!$M$2:$M$501,0))="","",INDEX(Itens!$L$2:$L$501,MATCH(199,Itens!$M$2:$M$501,0))),"")</f>
        <v/>
      </c>
    </row>
    <row r="212">
      <c r="A212" s="17">
        <f>IFERROR(IF(INDEX(Itens!$A$2:$A$501,MATCH(200,Itens!$M$2:$M$501,0))="","",INDEX(Itens!$A$2:$A$501,MATCH(200,Itens!$M$2:$M$501,0))),"")</f>
        <v/>
      </c>
      <c r="B212" s="17">
        <f>IFERROR(IF(INDEX(Itens!$C$2:$C$501,MATCH(200,Itens!$M$2:$M$501,0))="","",INDEX(Itens!$C$2:$C$501,MATCH(200,Itens!$M$2:$M$501,0))),"")</f>
        <v/>
      </c>
      <c r="C212" s="17">
        <f>IFERROR(IF(INDEX(Itens!$E$2:$E$501,MATCH(200,Itens!$M$2:$M$501,0))="","",INDEX(Itens!$E$2:$E$501,MATCH(200,Itens!$M$2:$M$501,0))),"")</f>
        <v/>
      </c>
      <c r="D212" s="17">
        <f>IFERROR(IF(INDEX(Itens!$F$2:$F$501,MATCH(200,Itens!$M$2:$M$501,0))="","",INDEX(Itens!$F$2:$F$501,MATCH(200,Itens!$M$2:$M$501,0))),"")</f>
        <v/>
      </c>
      <c r="E212" s="17">
        <f>IFERROR(IF(INDEX(Itens!$G$2:$G$501,MATCH(200,Itens!$M$2:$M$501,0))="","",INDEX(Itens!$G$2:$G$501,MATCH(200,Itens!$M$2:$M$501,0))),"")</f>
        <v/>
      </c>
      <c r="F212" s="17">
        <f>IFERROR(IF(INDEX(Itens!$I$2:$I$501,MATCH(200,Itens!$M$2:$M$501,0))="","",INDEX(Itens!$I$2:$I$501,MATCH(200,Itens!$M$2:$M$501,0))),"")</f>
        <v/>
      </c>
      <c r="G212" s="17">
        <f>IFERROR(IF(INDEX(Itens!$J$2:$J$501,MATCH(200,Itens!$M$2:$M$501,0))="","",INDEX(Itens!$J$2:$J$501,MATCH(200,Itens!$M$2:$M$501,0))),"")</f>
        <v/>
      </c>
      <c r="H212" s="18">
        <f>IFERROR(IF(INDEX(Itens!$K$2:$K$501,MATCH(200,Itens!$M$2:$M$501,0))="","",INDEX(Itens!$K$2:$K$501,MATCH(200,Itens!$M$2:$M$501,0))),"")</f>
        <v/>
      </c>
      <c r="I212" s="17">
        <f>IFERROR(IF(INDEX(Itens!$L$2:$L$501,MATCH(200,Itens!$M$2:$M$501,0))="","",INDEX(Itens!$L$2:$L$501,MATCH(200,Itens!$M$2:$M$501,0))),"")</f>
        <v/>
      </c>
    </row>
    <row r="213">
      <c r="A213" s="17">
        <f>IFERROR(IF(INDEX(Itens!$A$2:$A$501,MATCH(201,Itens!$M$2:$M$501,0))="","",INDEX(Itens!$A$2:$A$501,MATCH(201,Itens!$M$2:$M$501,0))),"")</f>
        <v/>
      </c>
      <c r="B213" s="17">
        <f>IFERROR(IF(INDEX(Itens!$C$2:$C$501,MATCH(201,Itens!$M$2:$M$501,0))="","",INDEX(Itens!$C$2:$C$501,MATCH(201,Itens!$M$2:$M$501,0))),"")</f>
        <v/>
      </c>
      <c r="C213" s="17">
        <f>IFERROR(IF(INDEX(Itens!$E$2:$E$501,MATCH(201,Itens!$M$2:$M$501,0))="","",INDEX(Itens!$E$2:$E$501,MATCH(201,Itens!$M$2:$M$501,0))),"")</f>
        <v/>
      </c>
      <c r="D213" s="17">
        <f>IFERROR(IF(INDEX(Itens!$F$2:$F$501,MATCH(201,Itens!$M$2:$M$501,0))="","",INDEX(Itens!$F$2:$F$501,MATCH(201,Itens!$M$2:$M$501,0))),"")</f>
        <v/>
      </c>
      <c r="E213" s="17">
        <f>IFERROR(IF(INDEX(Itens!$G$2:$G$501,MATCH(201,Itens!$M$2:$M$501,0))="","",INDEX(Itens!$G$2:$G$501,MATCH(201,Itens!$M$2:$M$501,0))),"")</f>
        <v/>
      </c>
      <c r="F213" s="17">
        <f>IFERROR(IF(INDEX(Itens!$I$2:$I$501,MATCH(201,Itens!$M$2:$M$501,0))="","",INDEX(Itens!$I$2:$I$501,MATCH(201,Itens!$M$2:$M$501,0))),"")</f>
        <v/>
      </c>
      <c r="G213" s="17">
        <f>IFERROR(IF(INDEX(Itens!$J$2:$J$501,MATCH(201,Itens!$M$2:$M$501,0))="","",INDEX(Itens!$J$2:$J$501,MATCH(201,Itens!$M$2:$M$501,0))),"")</f>
        <v/>
      </c>
      <c r="H213" s="18">
        <f>IFERROR(IF(INDEX(Itens!$K$2:$K$501,MATCH(201,Itens!$M$2:$M$501,0))="","",INDEX(Itens!$K$2:$K$501,MATCH(201,Itens!$M$2:$M$501,0))),"")</f>
        <v/>
      </c>
      <c r="I213" s="17">
        <f>IFERROR(IF(INDEX(Itens!$L$2:$L$501,MATCH(201,Itens!$M$2:$M$501,0))="","",INDEX(Itens!$L$2:$L$501,MATCH(201,Itens!$M$2:$M$501,0))),"")</f>
        <v/>
      </c>
    </row>
    <row r="214">
      <c r="A214" s="17">
        <f>IFERROR(IF(INDEX(Itens!$A$2:$A$501,MATCH(202,Itens!$M$2:$M$501,0))="","",INDEX(Itens!$A$2:$A$501,MATCH(202,Itens!$M$2:$M$501,0))),"")</f>
        <v/>
      </c>
      <c r="B214" s="17">
        <f>IFERROR(IF(INDEX(Itens!$C$2:$C$501,MATCH(202,Itens!$M$2:$M$501,0))="","",INDEX(Itens!$C$2:$C$501,MATCH(202,Itens!$M$2:$M$501,0))),"")</f>
        <v/>
      </c>
      <c r="C214" s="17">
        <f>IFERROR(IF(INDEX(Itens!$E$2:$E$501,MATCH(202,Itens!$M$2:$M$501,0))="","",INDEX(Itens!$E$2:$E$501,MATCH(202,Itens!$M$2:$M$501,0))),"")</f>
        <v/>
      </c>
      <c r="D214" s="17">
        <f>IFERROR(IF(INDEX(Itens!$F$2:$F$501,MATCH(202,Itens!$M$2:$M$501,0))="","",INDEX(Itens!$F$2:$F$501,MATCH(202,Itens!$M$2:$M$501,0))),"")</f>
        <v/>
      </c>
      <c r="E214" s="17">
        <f>IFERROR(IF(INDEX(Itens!$G$2:$G$501,MATCH(202,Itens!$M$2:$M$501,0))="","",INDEX(Itens!$G$2:$G$501,MATCH(202,Itens!$M$2:$M$501,0))),"")</f>
        <v/>
      </c>
      <c r="F214" s="17">
        <f>IFERROR(IF(INDEX(Itens!$I$2:$I$501,MATCH(202,Itens!$M$2:$M$501,0))="","",INDEX(Itens!$I$2:$I$501,MATCH(202,Itens!$M$2:$M$501,0))),"")</f>
        <v/>
      </c>
      <c r="G214" s="17">
        <f>IFERROR(IF(INDEX(Itens!$J$2:$J$501,MATCH(202,Itens!$M$2:$M$501,0))="","",INDEX(Itens!$J$2:$J$501,MATCH(202,Itens!$M$2:$M$501,0))),"")</f>
        <v/>
      </c>
      <c r="H214" s="18">
        <f>IFERROR(IF(INDEX(Itens!$K$2:$K$501,MATCH(202,Itens!$M$2:$M$501,0))="","",INDEX(Itens!$K$2:$K$501,MATCH(202,Itens!$M$2:$M$501,0))),"")</f>
        <v/>
      </c>
      <c r="I214" s="17">
        <f>IFERROR(IF(INDEX(Itens!$L$2:$L$501,MATCH(202,Itens!$M$2:$M$501,0))="","",INDEX(Itens!$L$2:$L$501,MATCH(202,Itens!$M$2:$M$501,0))),"")</f>
        <v/>
      </c>
    </row>
    <row r="215">
      <c r="A215" s="17">
        <f>IFERROR(IF(INDEX(Itens!$A$2:$A$501,MATCH(203,Itens!$M$2:$M$501,0))="","",INDEX(Itens!$A$2:$A$501,MATCH(203,Itens!$M$2:$M$501,0))),"")</f>
        <v/>
      </c>
      <c r="B215" s="17">
        <f>IFERROR(IF(INDEX(Itens!$C$2:$C$501,MATCH(203,Itens!$M$2:$M$501,0))="","",INDEX(Itens!$C$2:$C$501,MATCH(203,Itens!$M$2:$M$501,0))),"")</f>
        <v/>
      </c>
      <c r="C215" s="17">
        <f>IFERROR(IF(INDEX(Itens!$E$2:$E$501,MATCH(203,Itens!$M$2:$M$501,0))="","",INDEX(Itens!$E$2:$E$501,MATCH(203,Itens!$M$2:$M$501,0))),"")</f>
        <v/>
      </c>
      <c r="D215" s="17">
        <f>IFERROR(IF(INDEX(Itens!$F$2:$F$501,MATCH(203,Itens!$M$2:$M$501,0))="","",INDEX(Itens!$F$2:$F$501,MATCH(203,Itens!$M$2:$M$501,0))),"")</f>
        <v/>
      </c>
      <c r="E215" s="17">
        <f>IFERROR(IF(INDEX(Itens!$G$2:$G$501,MATCH(203,Itens!$M$2:$M$501,0))="","",INDEX(Itens!$G$2:$G$501,MATCH(203,Itens!$M$2:$M$501,0))),"")</f>
        <v/>
      </c>
      <c r="F215" s="17">
        <f>IFERROR(IF(INDEX(Itens!$I$2:$I$501,MATCH(203,Itens!$M$2:$M$501,0))="","",INDEX(Itens!$I$2:$I$501,MATCH(203,Itens!$M$2:$M$501,0))),"")</f>
        <v/>
      </c>
      <c r="G215" s="17">
        <f>IFERROR(IF(INDEX(Itens!$J$2:$J$501,MATCH(203,Itens!$M$2:$M$501,0))="","",INDEX(Itens!$J$2:$J$501,MATCH(203,Itens!$M$2:$M$501,0))),"")</f>
        <v/>
      </c>
      <c r="H215" s="18">
        <f>IFERROR(IF(INDEX(Itens!$K$2:$K$501,MATCH(203,Itens!$M$2:$M$501,0))="","",INDEX(Itens!$K$2:$K$501,MATCH(203,Itens!$M$2:$M$501,0))),"")</f>
        <v/>
      </c>
      <c r="I215" s="17">
        <f>IFERROR(IF(INDEX(Itens!$L$2:$L$501,MATCH(203,Itens!$M$2:$M$501,0))="","",INDEX(Itens!$L$2:$L$501,MATCH(203,Itens!$M$2:$M$501,0))),"")</f>
        <v/>
      </c>
    </row>
    <row r="216">
      <c r="A216" s="17">
        <f>IFERROR(IF(INDEX(Itens!$A$2:$A$501,MATCH(204,Itens!$M$2:$M$501,0))="","",INDEX(Itens!$A$2:$A$501,MATCH(204,Itens!$M$2:$M$501,0))),"")</f>
        <v/>
      </c>
      <c r="B216" s="17">
        <f>IFERROR(IF(INDEX(Itens!$C$2:$C$501,MATCH(204,Itens!$M$2:$M$501,0))="","",INDEX(Itens!$C$2:$C$501,MATCH(204,Itens!$M$2:$M$501,0))),"")</f>
        <v/>
      </c>
      <c r="C216" s="17">
        <f>IFERROR(IF(INDEX(Itens!$E$2:$E$501,MATCH(204,Itens!$M$2:$M$501,0))="","",INDEX(Itens!$E$2:$E$501,MATCH(204,Itens!$M$2:$M$501,0))),"")</f>
        <v/>
      </c>
      <c r="D216" s="17">
        <f>IFERROR(IF(INDEX(Itens!$F$2:$F$501,MATCH(204,Itens!$M$2:$M$501,0))="","",INDEX(Itens!$F$2:$F$501,MATCH(204,Itens!$M$2:$M$501,0))),"")</f>
        <v/>
      </c>
      <c r="E216" s="17">
        <f>IFERROR(IF(INDEX(Itens!$G$2:$G$501,MATCH(204,Itens!$M$2:$M$501,0))="","",INDEX(Itens!$G$2:$G$501,MATCH(204,Itens!$M$2:$M$501,0))),"")</f>
        <v/>
      </c>
      <c r="F216" s="17">
        <f>IFERROR(IF(INDEX(Itens!$I$2:$I$501,MATCH(204,Itens!$M$2:$M$501,0))="","",INDEX(Itens!$I$2:$I$501,MATCH(204,Itens!$M$2:$M$501,0))),"")</f>
        <v/>
      </c>
      <c r="G216" s="17">
        <f>IFERROR(IF(INDEX(Itens!$J$2:$J$501,MATCH(204,Itens!$M$2:$M$501,0))="","",INDEX(Itens!$J$2:$J$501,MATCH(204,Itens!$M$2:$M$501,0))),"")</f>
        <v/>
      </c>
      <c r="H216" s="18">
        <f>IFERROR(IF(INDEX(Itens!$K$2:$K$501,MATCH(204,Itens!$M$2:$M$501,0))="","",INDEX(Itens!$K$2:$K$501,MATCH(204,Itens!$M$2:$M$501,0))),"")</f>
        <v/>
      </c>
      <c r="I216" s="17">
        <f>IFERROR(IF(INDEX(Itens!$L$2:$L$501,MATCH(204,Itens!$M$2:$M$501,0))="","",INDEX(Itens!$L$2:$L$501,MATCH(204,Itens!$M$2:$M$501,0))),"")</f>
        <v/>
      </c>
    </row>
    <row r="217">
      <c r="A217" s="17">
        <f>IFERROR(IF(INDEX(Itens!$A$2:$A$501,MATCH(205,Itens!$M$2:$M$501,0))="","",INDEX(Itens!$A$2:$A$501,MATCH(205,Itens!$M$2:$M$501,0))),"")</f>
        <v/>
      </c>
      <c r="B217" s="17">
        <f>IFERROR(IF(INDEX(Itens!$C$2:$C$501,MATCH(205,Itens!$M$2:$M$501,0))="","",INDEX(Itens!$C$2:$C$501,MATCH(205,Itens!$M$2:$M$501,0))),"")</f>
        <v/>
      </c>
      <c r="C217" s="17">
        <f>IFERROR(IF(INDEX(Itens!$E$2:$E$501,MATCH(205,Itens!$M$2:$M$501,0))="","",INDEX(Itens!$E$2:$E$501,MATCH(205,Itens!$M$2:$M$501,0))),"")</f>
        <v/>
      </c>
      <c r="D217" s="17">
        <f>IFERROR(IF(INDEX(Itens!$F$2:$F$501,MATCH(205,Itens!$M$2:$M$501,0))="","",INDEX(Itens!$F$2:$F$501,MATCH(205,Itens!$M$2:$M$501,0))),"")</f>
        <v/>
      </c>
      <c r="E217" s="17">
        <f>IFERROR(IF(INDEX(Itens!$G$2:$G$501,MATCH(205,Itens!$M$2:$M$501,0))="","",INDEX(Itens!$G$2:$G$501,MATCH(205,Itens!$M$2:$M$501,0))),"")</f>
        <v/>
      </c>
      <c r="F217" s="17">
        <f>IFERROR(IF(INDEX(Itens!$I$2:$I$501,MATCH(205,Itens!$M$2:$M$501,0))="","",INDEX(Itens!$I$2:$I$501,MATCH(205,Itens!$M$2:$M$501,0))),"")</f>
        <v/>
      </c>
      <c r="G217" s="17">
        <f>IFERROR(IF(INDEX(Itens!$J$2:$J$501,MATCH(205,Itens!$M$2:$M$501,0))="","",INDEX(Itens!$J$2:$J$501,MATCH(205,Itens!$M$2:$M$501,0))),"")</f>
        <v/>
      </c>
      <c r="H217" s="18">
        <f>IFERROR(IF(INDEX(Itens!$K$2:$K$501,MATCH(205,Itens!$M$2:$M$501,0))="","",INDEX(Itens!$K$2:$K$501,MATCH(205,Itens!$M$2:$M$501,0))),"")</f>
        <v/>
      </c>
      <c r="I217" s="17">
        <f>IFERROR(IF(INDEX(Itens!$L$2:$L$501,MATCH(205,Itens!$M$2:$M$501,0))="","",INDEX(Itens!$L$2:$L$501,MATCH(205,Itens!$M$2:$M$501,0))),"")</f>
        <v/>
      </c>
    </row>
    <row r="218">
      <c r="A218" s="17">
        <f>IFERROR(IF(INDEX(Itens!$A$2:$A$501,MATCH(206,Itens!$M$2:$M$501,0))="","",INDEX(Itens!$A$2:$A$501,MATCH(206,Itens!$M$2:$M$501,0))),"")</f>
        <v/>
      </c>
      <c r="B218" s="17">
        <f>IFERROR(IF(INDEX(Itens!$C$2:$C$501,MATCH(206,Itens!$M$2:$M$501,0))="","",INDEX(Itens!$C$2:$C$501,MATCH(206,Itens!$M$2:$M$501,0))),"")</f>
        <v/>
      </c>
      <c r="C218" s="17">
        <f>IFERROR(IF(INDEX(Itens!$E$2:$E$501,MATCH(206,Itens!$M$2:$M$501,0))="","",INDEX(Itens!$E$2:$E$501,MATCH(206,Itens!$M$2:$M$501,0))),"")</f>
        <v/>
      </c>
      <c r="D218" s="17">
        <f>IFERROR(IF(INDEX(Itens!$F$2:$F$501,MATCH(206,Itens!$M$2:$M$501,0))="","",INDEX(Itens!$F$2:$F$501,MATCH(206,Itens!$M$2:$M$501,0))),"")</f>
        <v/>
      </c>
      <c r="E218" s="17">
        <f>IFERROR(IF(INDEX(Itens!$G$2:$G$501,MATCH(206,Itens!$M$2:$M$501,0))="","",INDEX(Itens!$G$2:$G$501,MATCH(206,Itens!$M$2:$M$501,0))),"")</f>
        <v/>
      </c>
      <c r="F218" s="17">
        <f>IFERROR(IF(INDEX(Itens!$I$2:$I$501,MATCH(206,Itens!$M$2:$M$501,0))="","",INDEX(Itens!$I$2:$I$501,MATCH(206,Itens!$M$2:$M$501,0))),"")</f>
        <v/>
      </c>
      <c r="G218" s="17">
        <f>IFERROR(IF(INDEX(Itens!$J$2:$J$501,MATCH(206,Itens!$M$2:$M$501,0))="","",INDEX(Itens!$J$2:$J$501,MATCH(206,Itens!$M$2:$M$501,0))),"")</f>
        <v/>
      </c>
      <c r="H218" s="18">
        <f>IFERROR(IF(INDEX(Itens!$K$2:$K$501,MATCH(206,Itens!$M$2:$M$501,0))="","",INDEX(Itens!$K$2:$K$501,MATCH(206,Itens!$M$2:$M$501,0))),"")</f>
        <v/>
      </c>
      <c r="I218" s="17">
        <f>IFERROR(IF(INDEX(Itens!$L$2:$L$501,MATCH(206,Itens!$M$2:$M$501,0))="","",INDEX(Itens!$L$2:$L$501,MATCH(206,Itens!$M$2:$M$501,0))),"")</f>
        <v/>
      </c>
    </row>
    <row r="219">
      <c r="A219" s="17">
        <f>IFERROR(IF(INDEX(Itens!$A$2:$A$501,MATCH(207,Itens!$M$2:$M$501,0))="","",INDEX(Itens!$A$2:$A$501,MATCH(207,Itens!$M$2:$M$501,0))),"")</f>
        <v/>
      </c>
      <c r="B219" s="17">
        <f>IFERROR(IF(INDEX(Itens!$C$2:$C$501,MATCH(207,Itens!$M$2:$M$501,0))="","",INDEX(Itens!$C$2:$C$501,MATCH(207,Itens!$M$2:$M$501,0))),"")</f>
        <v/>
      </c>
      <c r="C219" s="17">
        <f>IFERROR(IF(INDEX(Itens!$E$2:$E$501,MATCH(207,Itens!$M$2:$M$501,0))="","",INDEX(Itens!$E$2:$E$501,MATCH(207,Itens!$M$2:$M$501,0))),"")</f>
        <v/>
      </c>
      <c r="D219" s="17">
        <f>IFERROR(IF(INDEX(Itens!$F$2:$F$501,MATCH(207,Itens!$M$2:$M$501,0))="","",INDEX(Itens!$F$2:$F$501,MATCH(207,Itens!$M$2:$M$501,0))),"")</f>
        <v/>
      </c>
      <c r="E219" s="17">
        <f>IFERROR(IF(INDEX(Itens!$G$2:$G$501,MATCH(207,Itens!$M$2:$M$501,0))="","",INDEX(Itens!$G$2:$G$501,MATCH(207,Itens!$M$2:$M$501,0))),"")</f>
        <v/>
      </c>
      <c r="F219" s="17">
        <f>IFERROR(IF(INDEX(Itens!$I$2:$I$501,MATCH(207,Itens!$M$2:$M$501,0))="","",INDEX(Itens!$I$2:$I$501,MATCH(207,Itens!$M$2:$M$501,0))),"")</f>
        <v/>
      </c>
      <c r="G219" s="17">
        <f>IFERROR(IF(INDEX(Itens!$J$2:$J$501,MATCH(207,Itens!$M$2:$M$501,0))="","",INDEX(Itens!$J$2:$J$501,MATCH(207,Itens!$M$2:$M$501,0))),"")</f>
        <v/>
      </c>
      <c r="H219" s="18">
        <f>IFERROR(IF(INDEX(Itens!$K$2:$K$501,MATCH(207,Itens!$M$2:$M$501,0))="","",INDEX(Itens!$K$2:$K$501,MATCH(207,Itens!$M$2:$M$501,0))),"")</f>
        <v/>
      </c>
      <c r="I219" s="17">
        <f>IFERROR(IF(INDEX(Itens!$L$2:$L$501,MATCH(207,Itens!$M$2:$M$501,0))="","",INDEX(Itens!$L$2:$L$501,MATCH(207,Itens!$M$2:$M$501,0))),"")</f>
        <v/>
      </c>
    </row>
    <row r="220">
      <c r="A220" s="17">
        <f>IFERROR(IF(INDEX(Itens!$A$2:$A$501,MATCH(208,Itens!$M$2:$M$501,0))="","",INDEX(Itens!$A$2:$A$501,MATCH(208,Itens!$M$2:$M$501,0))),"")</f>
        <v/>
      </c>
      <c r="B220" s="17">
        <f>IFERROR(IF(INDEX(Itens!$C$2:$C$501,MATCH(208,Itens!$M$2:$M$501,0))="","",INDEX(Itens!$C$2:$C$501,MATCH(208,Itens!$M$2:$M$501,0))),"")</f>
        <v/>
      </c>
      <c r="C220" s="17">
        <f>IFERROR(IF(INDEX(Itens!$E$2:$E$501,MATCH(208,Itens!$M$2:$M$501,0))="","",INDEX(Itens!$E$2:$E$501,MATCH(208,Itens!$M$2:$M$501,0))),"")</f>
        <v/>
      </c>
      <c r="D220" s="17">
        <f>IFERROR(IF(INDEX(Itens!$F$2:$F$501,MATCH(208,Itens!$M$2:$M$501,0))="","",INDEX(Itens!$F$2:$F$501,MATCH(208,Itens!$M$2:$M$501,0))),"")</f>
        <v/>
      </c>
      <c r="E220" s="17">
        <f>IFERROR(IF(INDEX(Itens!$G$2:$G$501,MATCH(208,Itens!$M$2:$M$501,0))="","",INDEX(Itens!$G$2:$G$501,MATCH(208,Itens!$M$2:$M$501,0))),"")</f>
        <v/>
      </c>
      <c r="F220" s="17">
        <f>IFERROR(IF(INDEX(Itens!$I$2:$I$501,MATCH(208,Itens!$M$2:$M$501,0))="","",INDEX(Itens!$I$2:$I$501,MATCH(208,Itens!$M$2:$M$501,0))),"")</f>
        <v/>
      </c>
      <c r="G220" s="17">
        <f>IFERROR(IF(INDEX(Itens!$J$2:$J$501,MATCH(208,Itens!$M$2:$M$501,0))="","",INDEX(Itens!$J$2:$J$501,MATCH(208,Itens!$M$2:$M$501,0))),"")</f>
        <v/>
      </c>
      <c r="H220" s="18">
        <f>IFERROR(IF(INDEX(Itens!$K$2:$K$501,MATCH(208,Itens!$M$2:$M$501,0))="","",INDEX(Itens!$K$2:$K$501,MATCH(208,Itens!$M$2:$M$501,0))),"")</f>
        <v/>
      </c>
      <c r="I220" s="17">
        <f>IFERROR(IF(INDEX(Itens!$L$2:$L$501,MATCH(208,Itens!$M$2:$M$501,0))="","",INDEX(Itens!$L$2:$L$501,MATCH(208,Itens!$M$2:$M$501,0))),"")</f>
        <v/>
      </c>
    </row>
    <row r="221">
      <c r="A221" s="17">
        <f>IFERROR(IF(INDEX(Itens!$A$2:$A$501,MATCH(209,Itens!$M$2:$M$501,0))="","",INDEX(Itens!$A$2:$A$501,MATCH(209,Itens!$M$2:$M$501,0))),"")</f>
        <v/>
      </c>
      <c r="B221" s="17">
        <f>IFERROR(IF(INDEX(Itens!$C$2:$C$501,MATCH(209,Itens!$M$2:$M$501,0))="","",INDEX(Itens!$C$2:$C$501,MATCH(209,Itens!$M$2:$M$501,0))),"")</f>
        <v/>
      </c>
      <c r="C221" s="17">
        <f>IFERROR(IF(INDEX(Itens!$E$2:$E$501,MATCH(209,Itens!$M$2:$M$501,0))="","",INDEX(Itens!$E$2:$E$501,MATCH(209,Itens!$M$2:$M$501,0))),"")</f>
        <v/>
      </c>
      <c r="D221" s="17">
        <f>IFERROR(IF(INDEX(Itens!$F$2:$F$501,MATCH(209,Itens!$M$2:$M$501,0))="","",INDEX(Itens!$F$2:$F$501,MATCH(209,Itens!$M$2:$M$501,0))),"")</f>
        <v/>
      </c>
      <c r="E221" s="17">
        <f>IFERROR(IF(INDEX(Itens!$G$2:$G$501,MATCH(209,Itens!$M$2:$M$501,0))="","",INDEX(Itens!$G$2:$G$501,MATCH(209,Itens!$M$2:$M$501,0))),"")</f>
        <v/>
      </c>
      <c r="F221" s="17">
        <f>IFERROR(IF(INDEX(Itens!$I$2:$I$501,MATCH(209,Itens!$M$2:$M$501,0))="","",INDEX(Itens!$I$2:$I$501,MATCH(209,Itens!$M$2:$M$501,0))),"")</f>
        <v/>
      </c>
      <c r="G221" s="17">
        <f>IFERROR(IF(INDEX(Itens!$J$2:$J$501,MATCH(209,Itens!$M$2:$M$501,0))="","",INDEX(Itens!$J$2:$J$501,MATCH(209,Itens!$M$2:$M$501,0))),"")</f>
        <v/>
      </c>
      <c r="H221" s="18">
        <f>IFERROR(IF(INDEX(Itens!$K$2:$K$501,MATCH(209,Itens!$M$2:$M$501,0))="","",INDEX(Itens!$K$2:$K$501,MATCH(209,Itens!$M$2:$M$501,0))),"")</f>
        <v/>
      </c>
      <c r="I221" s="17">
        <f>IFERROR(IF(INDEX(Itens!$L$2:$L$501,MATCH(209,Itens!$M$2:$M$501,0))="","",INDEX(Itens!$L$2:$L$501,MATCH(209,Itens!$M$2:$M$501,0))),"")</f>
        <v/>
      </c>
    </row>
    <row r="222">
      <c r="A222" s="17">
        <f>IFERROR(IF(INDEX(Itens!$A$2:$A$501,MATCH(210,Itens!$M$2:$M$501,0))="","",INDEX(Itens!$A$2:$A$501,MATCH(210,Itens!$M$2:$M$501,0))),"")</f>
        <v/>
      </c>
      <c r="B222" s="17">
        <f>IFERROR(IF(INDEX(Itens!$C$2:$C$501,MATCH(210,Itens!$M$2:$M$501,0))="","",INDEX(Itens!$C$2:$C$501,MATCH(210,Itens!$M$2:$M$501,0))),"")</f>
        <v/>
      </c>
      <c r="C222" s="17">
        <f>IFERROR(IF(INDEX(Itens!$E$2:$E$501,MATCH(210,Itens!$M$2:$M$501,0))="","",INDEX(Itens!$E$2:$E$501,MATCH(210,Itens!$M$2:$M$501,0))),"")</f>
        <v/>
      </c>
      <c r="D222" s="17">
        <f>IFERROR(IF(INDEX(Itens!$F$2:$F$501,MATCH(210,Itens!$M$2:$M$501,0))="","",INDEX(Itens!$F$2:$F$501,MATCH(210,Itens!$M$2:$M$501,0))),"")</f>
        <v/>
      </c>
      <c r="E222" s="17">
        <f>IFERROR(IF(INDEX(Itens!$G$2:$G$501,MATCH(210,Itens!$M$2:$M$501,0))="","",INDEX(Itens!$G$2:$G$501,MATCH(210,Itens!$M$2:$M$501,0))),"")</f>
        <v/>
      </c>
      <c r="F222" s="17">
        <f>IFERROR(IF(INDEX(Itens!$I$2:$I$501,MATCH(210,Itens!$M$2:$M$501,0))="","",INDEX(Itens!$I$2:$I$501,MATCH(210,Itens!$M$2:$M$501,0))),"")</f>
        <v/>
      </c>
      <c r="G222" s="17">
        <f>IFERROR(IF(INDEX(Itens!$J$2:$J$501,MATCH(210,Itens!$M$2:$M$501,0))="","",INDEX(Itens!$J$2:$J$501,MATCH(210,Itens!$M$2:$M$501,0))),"")</f>
        <v/>
      </c>
      <c r="H222" s="18">
        <f>IFERROR(IF(INDEX(Itens!$K$2:$K$501,MATCH(210,Itens!$M$2:$M$501,0))="","",INDEX(Itens!$K$2:$K$501,MATCH(210,Itens!$M$2:$M$501,0))),"")</f>
        <v/>
      </c>
      <c r="I222" s="17">
        <f>IFERROR(IF(INDEX(Itens!$L$2:$L$501,MATCH(210,Itens!$M$2:$M$501,0))="","",INDEX(Itens!$L$2:$L$501,MATCH(210,Itens!$M$2:$M$501,0))),"")</f>
        <v/>
      </c>
    </row>
    <row r="223">
      <c r="A223" s="17">
        <f>IFERROR(IF(INDEX(Itens!$A$2:$A$501,MATCH(211,Itens!$M$2:$M$501,0))="","",INDEX(Itens!$A$2:$A$501,MATCH(211,Itens!$M$2:$M$501,0))),"")</f>
        <v/>
      </c>
      <c r="B223" s="17">
        <f>IFERROR(IF(INDEX(Itens!$C$2:$C$501,MATCH(211,Itens!$M$2:$M$501,0))="","",INDEX(Itens!$C$2:$C$501,MATCH(211,Itens!$M$2:$M$501,0))),"")</f>
        <v/>
      </c>
      <c r="C223" s="17">
        <f>IFERROR(IF(INDEX(Itens!$E$2:$E$501,MATCH(211,Itens!$M$2:$M$501,0))="","",INDEX(Itens!$E$2:$E$501,MATCH(211,Itens!$M$2:$M$501,0))),"")</f>
        <v/>
      </c>
      <c r="D223" s="17">
        <f>IFERROR(IF(INDEX(Itens!$F$2:$F$501,MATCH(211,Itens!$M$2:$M$501,0))="","",INDEX(Itens!$F$2:$F$501,MATCH(211,Itens!$M$2:$M$501,0))),"")</f>
        <v/>
      </c>
      <c r="E223" s="17">
        <f>IFERROR(IF(INDEX(Itens!$G$2:$G$501,MATCH(211,Itens!$M$2:$M$501,0))="","",INDEX(Itens!$G$2:$G$501,MATCH(211,Itens!$M$2:$M$501,0))),"")</f>
        <v/>
      </c>
      <c r="F223" s="17">
        <f>IFERROR(IF(INDEX(Itens!$I$2:$I$501,MATCH(211,Itens!$M$2:$M$501,0))="","",INDEX(Itens!$I$2:$I$501,MATCH(211,Itens!$M$2:$M$501,0))),"")</f>
        <v/>
      </c>
      <c r="G223" s="17">
        <f>IFERROR(IF(INDEX(Itens!$J$2:$J$501,MATCH(211,Itens!$M$2:$M$501,0))="","",INDEX(Itens!$J$2:$J$501,MATCH(211,Itens!$M$2:$M$501,0))),"")</f>
        <v/>
      </c>
      <c r="H223" s="18">
        <f>IFERROR(IF(INDEX(Itens!$K$2:$K$501,MATCH(211,Itens!$M$2:$M$501,0))="","",INDEX(Itens!$K$2:$K$501,MATCH(211,Itens!$M$2:$M$501,0))),"")</f>
        <v/>
      </c>
      <c r="I223" s="17">
        <f>IFERROR(IF(INDEX(Itens!$L$2:$L$501,MATCH(211,Itens!$M$2:$M$501,0))="","",INDEX(Itens!$L$2:$L$501,MATCH(211,Itens!$M$2:$M$501,0))),"")</f>
        <v/>
      </c>
    </row>
    <row r="224">
      <c r="A224" s="17">
        <f>IFERROR(IF(INDEX(Itens!$A$2:$A$501,MATCH(212,Itens!$M$2:$M$501,0))="","",INDEX(Itens!$A$2:$A$501,MATCH(212,Itens!$M$2:$M$501,0))),"")</f>
        <v/>
      </c>
      <c r="B224" s="17">
        <f>IFERROR(IF(INDEX(Itens!$C$2:$C$501,MATCH(212,Itens!$M$2:$M$501,0))="","",INDEX(Itens!$C$2:$C$501,MATCH(212,Itens!$M$2:$M$501,0))),"")</f>
        <v/>
      </c>
      <c r="C224" s="17">
        <f>IFERROR(IF(INDEX(Itens!$E$2:$E$501,MATCH(212,Itens!$M$2:$M$501,0))="","",INDEX(Itens!$E$2:$E$501,MATCH(212,Itens!$M$2:$M$501,0))),"")</f>
        <v/>
      </c>
      <c r="D224" s="17">
        <f>IFERROR(IF(INDEX(Itens!$F$2:$F$501,MATCH(212,Itens!$M$2:$M$501,0))="","",INDEX(Itens!$F$2:$F$501,MATCH(212,Itens!$M$2:$M$501,0))),"")</f>
        <v/>
      </c>
      <c r="E224" s="17">
        <f>IFERROR(IF(INDEX(Itens!$G$2:$G$501,MATCH(212,Itens!$M$2:$M$501,0))="","",INDEX(Itens!$G$2:$G$501,MATCH(212,Itens!$M$2:$M$501,0))),"")</f>
        <v/>
      </c>
      <c r="F224" s="17">
        <f>IFERROR(IF(INDEX(Itens!$I$2:$I$501,MATCH(212,Itens!$M$2:$M$501,0))="","",INDEX(Itens!$I$2:$I$501,MATCH(212,Itens!$M$2:$M$501,0))),"")</f>
        <v/>
      </c>
      <c r="G224" s="17">
        <f>IFERROR(IF(INDEX(Itens!$J$2:$J$501,MATCH(212,Itens!$M$2:$M$501,0))="","",INDEX(Itens!$J$2:$J$501,MATCH(212,Itens!$M$2:$M$501,0))),"")</f>
        <v/>
      </c>
      <c r="H224" s="18">
        <f>IFERROR(IF(INDEX(Itens!$K$2:$K$501,MATCH(212,Itens!$M$2:$M$501,0))="","",INDEX(Itens!$K$2:$K$501,MATCH(212,Itens!$M$2:$M$501,0))),"")</f>
        <v/>
      </c>
      <c r="I224" s="17">
        <f>IFERROR(IF(INDEX(Itens!$L$2:$L$501,MATCH(212,Itens!$M$2:$M$501,0))="","",INDEX(Itens!$L$2:$L$501,MATCH(212,Itens!$M$2:$M$501,0))),"")</f>
        <v/>
      </c>
    </row>
    <row r="225">
      <c r="A225" s="17">
        <f>IFERROR(IF(INDEX(Itens!$A$2:$A$501,MATCH(213,Itens!$M$2:$M$501,0))="","",INDEX(Itens!$A$2:$A$501,MATCH(213,Itens!$M$2:$M$501,0))),"")</f>
        <v/>
      </c>
      <c r="B225" s="17">
        <f>IFERROR(IF(INDEX(Itens!$C$2:$C$501,MATCH(213,Itens!$M$2:$M$501,0))="","",INDEX(Itens!$C$2:$C$501,MATCH(213,Itens!$M$2:$M$501,0))),"")</f>
        <v/>
      </c>
      <c r="C225" s="17">
        <f>IFERROR(IF(INDEX(Itens!$E$2:$E$501,MATCH(213,Itens!$M$2:$M$501,0))="","",INDEX(Itens!$E$2:$E$501,MATCH(213,Itens!$M$2:$M$501,0))),"")</f>
        <v/>
      </c>
      <c r="D225" s="17">
        <f>IFERROR(IF(INDEX(Itens!$F$2:$F$501,MATCH(213,Itens!$M$2:$M$501,0))="","",INDEX(Itens!$F$2:$F$501,MATCH(213,Itens!$M$2:$M$501,0))),"")</f>
        <v/>
      </c>
      <c r="E225" s="17">
        <f>IFERROR(IF(INDEX(Itens!$G$2:$G$501,MATCH(213,Itens!$M$2:$M$501,0))="","",INDEX(Itens!$G$2:$G$501,MATCH(213,Itens!$M$2:$M$501,0))),"")</f>
        <v/>
      </c>
      <c r="F225" s="17">
        <f>IFERROR(IF(INDEX(Itens!$I$2:$I$501,MATCH(213,Itens!$M$2:$M$501,0))="","",INDEX(Itens!$I$2:$I$501,MATCH(213,Itens!$M$2:$M$501,0))),"")</f>
        <v/>
      </c>
      <c r="G225" s="17">
        <f>IFERROR(IF(INDEX(Itens!$J$2:$J$501,MATCH(213,Itens!$M$2:$M$501,0))="","",INDEX(Itens!$J$2:$J$501,MATCH(213,Itens!$M$2:$M$501,0))),"")</f>
        <v/>
      </c>
      <c r="H225" s="18">
        <f>IFERROR(IF(INDEX(Itens!$K$2:$K$501,MATCH(213,Itens!$M$2:$M$501,0))="","",INDEX(Itens!$K$2:$K$501,MATCH(213,Itens!$M$2:$M$501,0))),"")</f>
        <v/>
      </c>
      <c r="I225" s="17">
        <f>IFERROR(IF(INDEX(Itens!$L$2:$L$501,MATCH(213,Itens!$M$2:$M$501,0))="","",INDEX(Itens!$L$2:$L$501,MATCH(213,Itens!$M$2:$M$501,0))),"")</f>
        <v/>
      </c>
    </row>
    <row r="226">
      <c r="A226" s="17">
        <f>IFERROR(IF(INDEX(Itens!$A$2:$A$501,MATCH(214,Itens!$M$2:$M$501,0))="","",INDEX(Itens!$A$2:$A$501,MATCH(214,Itens!$M$2:$M$501,0))),"")</f>
        <v/>
      </c>
      <c r="B226" s="17">
        <f>IFERROR(IF(INDEX(Itens!$C$2:$C$501,MATCH(214,Itens!$M$2:$M$501,0))="","",INDEX(Itens!$C$2:$C$501,MATCH(214,Itens!$M$2:$M$501,0))),"")</f>
        <v/>
      </c>
      <c r="C226" s="17">
        <f>IFERROR(IF(INDEX(Itens!$E$2:$E$501,MATCH(214,Itens!$M$2:$M$501,0))="","",INDEX(Itens!$E$2:$E$501,MATCH(214,Itens!$M$2:$M$501,0))),"")</f>
        <v/>
      </c>
      <c r="D226" s="17">
        <f>IFERROR(IF(INDEX(Itens!$F$2:$F$501,MATCH(214,Itens!$M$2:$M$501,0))="","",INDEX(Itens!$F$2:$F$501,MATCH(214,Itens!$M$2:$M$501,0))),"")</f>
        <v/>
      </c>
      <c r="E226" s="17">
        <f>IFERROR(IF(INDEX(Itens!$G$2:$G$501,MATCH(214,Itens!$M$2:$M$501,0))="","",INDEX(Itens!$G$2:$G$501,MATCH(214,Itens!$M$2:$M$501,0))),"")</f>
        <v/>
      </c>
      <c r="F226" s="17">
        <f>IFERROR(IF(INDEX(Itens!$I$2:$I$501,MATCH(214,Itens!$M$2:$M$501,0))="","",INDEX(Itens!$I$2:$I$501,MATCH(214,Itens!$M$2:$M$501,0))),"")</f>
        <v/>
      </c>
      <c r="G226" s="17">
        <f>IFERROR(IF(INDEX(Itens!$J$2:$J$501,MATCH(214,Itens!$M$2:$M$501,0))="","",INDEX(Itens!$J$2:$J$501,MATCH(214,Itens!$M$2:$M$501,0))),"")</f>
        <v/>
      </c>
      <c r="H226" s="18">
        <f>IFERROR(IF(INDEX(Itens!$K$2:$K$501,MATCH(214,Itens!$M$2:$M$501,0))="","",INDEX(Itens!$K$2:$K$501,MATCH(214,Itens!$M$2:$M$501,0))),"")</f>
        <v/>
      </c>
      <c r="I226" s="17">
        <f>IFERROR(IF(INDEX(Itens!$L$2:$L$501,MATCH(214,Itens!$M$2:$M$501,0))="","",INDEX(Itens!$L$2:$L$501,MATCH(214,Itens!$M$2:$M$501,0))),"")</f>
        <v/>
      </c>
    </row>
    <row r="227">
      <c r="A227" s="17">
        <f>IFERROR(IF(INDEX(Itens!$A$2:$A$501,MATCH(215,Itens!$M$2:$M$501,0))="","",INDEX(Itens!$A$2:$A$501,MATCH(215,Itens!$M$2:$M$501,0))),"")</f>
        <v/>
      </c>
      <c r="B227" s="17">
        <f>IFERROR(IF(INDEX(Itens!$C$2:$C$501,MATCH(215,Itens!$M$2:$M$501,0))="","",INDEX(Itens!$C$2:$C$501,MATCH(215,Itens!$M$2:$M$501,0))),"")</f>
        <v/>
      </c>
      <c r="C227" s="17">
        <f>IFERROR(IF(INDEX(Itens!$E$2:$E$501,MATCH(215,Itens!$M$2:$M$501,0))="","",INDEX(Itens!$E$2:$E$501,MATCH(215,Itens!$M$2:$M$501,0))),"")</f>
        <v/>
      </c>
      <c r="D227" s="17">
        <f>IFERROR(IF(INDEX(Itens!$F$2:$F$501,MATCH(215,Itens!$M$2:$M$501,0))="","",INDEX(Itens!$F$2:$F$501,MATCH(215,Itens!$M$2:$M$501,0))),"")</f>
        <v/>
      </c>
      <c r="E227" s="17">
        <f>IFERROR(IF(INDEX(Itens!$G$2:$G$501,MATCH(215,Itens!$M$2:$M$501,0))="","",INDEX(Itens!$G$2:$G$501,MATCH(215,Itens!$M$2:$M$501,0))),"")</f>
        <v/>
      </c>
      <c r="F227" s="17">
        <f>IFERROR(IF(INDEX(Itens!$I$2:$I$501,MATCH(215,Itens!$M$2:$M$501,0))="","",INDEX(Itens!$I$2:$I$501,MATCH(215,Itens!$M$2:$M$501,0))),"")</f>
        <v/>
      </c>
      <c r="G227" s="17">
        <f>IFERROR(IF(INDEX(Itens!$J$2:$J$501,MATCH(215,Itens!$M$2:$M$501,0))="","",INDEX(Itens!$J$2:$J$501,MATCH(215,Itens!$M$2:$M$501,0))),"")</f>
        <v/>
      </c>
      <c r="H227" s="18">
        <f>IFERROR(IF(INDEX(Itens!$K$2:$K$501,MATCH(215,Itens!$M$2:$M$501,0))="","",INDEX(Itens!$K$2:$K$501,MATCH(215,Itens!$M$2:$M$501,0))),"")</f>
        <v/>
      </c>
      <c r="I227" s="17">
        <f>IFERROR(IF(INDEX(Itens!$L$2:$L$501,MATCH(215,Itens!$M$2:$M$501,0))="","",INDEX(Itens!$L$2:$L$501,MATCH(215,Itens!$M$2:$M$501,0))),"")</f>
        <v/>
      </c>
    </row>
    <row r="228">
      <c r="A228" s="17">
        <f>IFERROR(IF(INDEX(Itens!$A$2:$A$501,MATCH(216,Itens!$M$2:$M$501,0))="","",INDEX(Itens!$A$2:$A$501,MATCH(216,Itens!$M$2:$M$501,0))),"")</f>
        <v/>
      </c>
      <c r="B228" s="17">
        <f>IFERROR(IF(INDEX(Itens!$C$2:$C$501,MATCH(216,Itens!$M$2:$M$501,0))="","",INDEX(Itens!$C$2:$C$501,MATCH(216,Itens!$M$2:$M$501,0))),"")</f>
        <v/>
      </c>
      <c r="C228" s="17">
        <f>IFERROR(IF(INDEX(Itens!$E$2:$E$501,MATCH(216,Itens!$M$2:$M$501,0))="","",INDEX(Itens!$E$2:$E$501,MATCH(216,Itens!$M$2:$M$501,0))),"")</f>
        <v/>
      </c>
      <c r="D228" s="17">
        <f>IFERROR(IF(INDEX(Itens!$F$2:$F$501,MATCH(216,Itens!$M$2:$M$501,0))="","",INDEX(Itens!$F$2:$F$501,MATCH(216,Itens!$M$2:$M$501,0))),"")</f>
        <v/>
      </c>
      <c r="E228" s="17">
        <f>IFERROR(IF(INDEX(Itens!$G$2:$G$501,MATCH(216,Itens!$M$2:$M$501,0))="","",INDEX(Itens!$G$2:$G$501,MATCH(216,Itens!$M$2:$M$501,0))),"")</f>
        <v/>
      </c>
      <c r="F228" s="17">
        <f>IFERROR(IF(INDEX(Itens!$I$2:$I$501,MATCH(216,Itens!$M$2:$M$501,0))="","",INDEX(Itens!$I$2:$I$501,MATCH(216,Itens!$M$2:$M$501,0))),"")</f>
        <v/>
      </c>
      <c r="G228" s="17">
        <f>IFERROR(IF(INDEX(Itens!$J$2:$J$501,MATCH(216,Itens!$M$2:$M$501,0))="","",INDEX(Itens!$J$2:$J$501,MATCH(216,Itens!$M$2:$M$501,0))),"")</f>
        <v/>
      </c>
      <c r="H228" s="18">
        <f>IFERROR(IF(INDEX(Itens!$K$2:$K$501,MATCH(216,Itens!$M$2:$M$501,0))="","",INDEX(Itens!$K$2:$K$501,MATCH(216,Itens!$M$2:$M$501,0))),"")</f>
        <v/>
      </c>
      <c r="I228" s="17">
        <f>IFERROR(IF(INDEX(Itens!$L$2:$L$501,MATCH(216,Itens!$M$2:$M$501,0))="","",INDEX(Itens!$L$2:$L$501,MATCH(216,Itens!$M$2:$M$501,0))),"")</f>
        <v/>
      </c>
    </row>
    <row r="229">
      <c r="A229" s="17">
        <f>IFERROR(IF(INDEX(Itens!$A$2:$A$501,MATCH(217,Itens!$M$2:$M$501,0))="","",INDEX(Itens!$A$2:$A$501,MATCH(217,Itens!$M$2:$M$501,0))),"")</f>
        <v/>
      </c>
      <c r="B229" s="17">
        <f>IFERROR(IF(INDEX(Itens!$C$2:$C$501,MATCH(217,Itens!$M$2:$M$501,0))="","",INDEX(Itens!$C$2:$C$501,MATCH(217,Itens!$M$2:$M$501,0))),"")</f>
        <v/>
      </c>
      <c r="C229" s="17">
        <f>IFERROR(IF(INDEX(Itens!$E$2:$E$501,MATCH(217,Itens!$M$2:$M$501,0))="","",INDEX(Itens!$E$2:$E$501,MATCH(217,Itens!$M$2:$M$501,0))),"")</f>
        <v/>
      </c>
      <c r="D229" s="17">
        <f>IFERROR(IF(INDEX(Itens!$F$2:$F$501,MATCH(217,Itens!$M$2:$M$501,0))="","",INDEX(Itens!$F$2:$F$501,MATCH(217,Itens!$M$2:$M$501,0))),"")</f>
        <v/>
      </c>
      <c r="E229" s="17">
        <f>IFERROR(IF(INDEX(Itens!$G$2:$G$501,MATCH(217,Itens!$M$2:$M$501,0))="","",INDEX(Itens!$G$2:$G$501,MATCH(217,Itens!$M$2:$M$501,0))),"")</f>
        <v/>
      </c>
      <c r="F229" s="17">
        <f>IFERROR(IF(INDEX(Itens!$I$2:$I$501,MATCH(217,Itens!$M$2:$M$501,0))="","",INDEX(Itens!$I$2:$I$501,MATCH(217,Itens!$M$2:$M$501,0))),"")</f>
        <v/>
      </c>
      <c r="G229" s="17">
        <f>IFERROR(IF(INDEX(Itens!$J$2:$J$501,MATCH(217,Itens!$M$2:$M$501,0))="","",INDEX(Itens!$J$2:$J$501,MATCH(217,Itens!$M$2:$M$501,0))),"")</f>
        <v/>
      </c>
      <c r="H229" s="18">
        <f>IFERROR(IF(INDEX(Itens!$K$2:$K$501,MATCH(217,Itens!$M$2:$M$501,0))="","",INDEX(Itens!$K$2:$K$501,MATCH(217,Itens!$M$2:$M$501,0))),"")</f>
        <v/>
      </c>
      <c r="I229" s="17">
        <f>IFERROR(IF(INDEX(Itens!$L$2:$L$501,MATCH(217,Itens!$M$2:$M$501,0))="","",INDEX(Itens!$L$2:$L$501,MATCH(217,Itens!$M$2:$M$501,0))),"")</f>
        <v/>
      </c>
    </row>
    <row r="230">
      <c r="A230" s="17">
        <f>IFERROR(IF(INDEX(Itens!$A$2:$A$501,MATCH(218,Itens!$M$2:$M$501,0))="","",INDEX(Itens!$A$2:$A$501,MATCH(218,Itens!$M$2:$M$501,0))),"")</f>
        <v/>
      </c>
      <c r="B230" s="17">
        <f>IFERROR(IF(INDEX(Itens!$C$2:$C$501,MATCH(218,Itens!$M$2:$M$501,0))="","",INDEX(Itens!$C$2:$C$501,MATCH(218,Itens!$M$2:$M$501,0))),"")</f>
        <v/>
      </c>
      <c r="C230" s="17">
        <f>IFERROR(IF(INDEX(Itens!$E$2:$E$501,MATCH(218,Itens!$M$2:$M$501,0))="","",INDEX(Itens!$E$2:$E$501,MATCH(218,Itens!$M$2:$M$501,0))),"")</f>
        <v/>
      </c>
      <c r="D230" s="17">
        <f>IFERROR(IF(INDEX(Itens!$F$2:$F$501,MATCH(218,Itens!$M$2:$M$501,0))="","",INDEX(Itens!$F$2:$F$501,MATCH(218,Itens!$M$2:$M$501,0))),"")</f>
        <v/>
      </c>
      <c r="E230" s="17">
        <f>IFERROR(IF(INDEX(Itens!$G$2:$G$501,MATCH(218,Itens!$M$2:$M$501,0))="","",INDEX(Itens!$G$2:$G$501,MATCH(218,Itens!$M$2:$M$501,0))),"")</f>
        <v/>
      </c>
      <c r="F230" s="17">
        <f>IFERROR(IF(INDEX(Itens!$I$2:$I$501,MATCH(218,Itens!$M$2:$M$501,0))="","",INDEX(Itens!$I$2:$I$501,MATCH(218,Itens!$M$2:$M$501,0))),"")</f>
        <v/>
      </c>
      <c r="G230" s="17">
        <f>IFERROR(IF(INDEX(Itens!$J$2:$J$501,MATCH(218,Itens!$M$2:$M$501,0))="","",INDEX(Itens!$J$2:$J$501,MATCH(218,Itens!$M$2:$M$501,0))),"")</f>
        <v/>
      </c>
      <c r="H230" s="18">
        <f>IFERROR(IF(INDEX(Itens!$K$2:$K$501,MATCH(218,Itens!$M$2:$M$501,0))="","",INDEX(Itens!$K$2:$K$501,MATCH(218,Itens!$M$2:$M$501,0))),"")</f>
        <v/>
      </c>
      <c r="I230" s="17">
        <f>IFERROR(IF(INDEX(Itens!$L$2:$L$501,MATCH(218,Itens!$M$2:$M$501,0))="","",INDEX(Itens!$L$2:$L$501,MATCH(218,Itens!$M$2:$M$501,0))),"")</f>
        <v/>
      </c>
    </row>
    <row r="231">
      <c r="A231" s="17">
        <f>IFERROR(IF(INDEX(Itens!$A$2:$A$501,MATCH(219,Itens!$M$2:$M$501,0))="","",INDEX(Itens!$A$2:$A$501,MATCH(219,Itens!$M$2:$M$501,0))),"")</f>
        <v/>
      </c>
      <c r="B231" s="17">
        <f>IFERROR(IF(INDEX(Itens!$C$2:$C$501,MATCH(219,Itens!$M$2:$M$501,0))="","",INDEX(Itens!$C$2:$C$501,MATCH(219,Itens!$M$2:$M$501,0))),"")</f>
        <v/>
      </c>
      <c r="C231" s="17">
        <f>IFERROR(IF(INDEX(Itens!$E$2:$E$501,MATCH(219,Itens!$M$2:$M$501,0))="","",INDEX(Itens!$E$2:$E$501,MATCH(219,Itens!$M$2:$M$501,0))),"")</f>
        <v/>
      </c>
      <c r="D231" s="17">
        <f>IFERROR(IF(INDEX(Itens!$F$2:$F$501,MATCH(219,Itens!$M$2:$M$501,0))="","",INDEX(Itens!$F$2:$F$501,MATCH(219,Itens!$M$2:$M$501,0))),"")</f>
        <v/>
      </c>
      <c r="E231" s="17">
        <f>IFERROR(IF(INDEX(Itens!$G$2:$G$501,MATCH(219,Itens!$M$2:$M$501,0))="","",INDEX(Itens!$G$2:$G$501,MATCH(219,Itens!$M$2:$M$501,0))),"")</f>
        <v/>
      </c>
      <c r="F231" s="17">
        <f>IFERROR(IF(INDEX(Itens!$I$2:$I$501,MATCH(219,Itens!$M$2:$M$501,0))="","",INDEX(Itens!$I$2:$I$501,MATCH(219,Itens!$M$2:$M$501,0))),"")</f>
        <v/>
      </c>
      <c r="G231" s="17">
        <f>IFERROR(IF(INDEX(Itens!$J$2:$J$501,MATCH(219,Itens!$M$2:$M$501,0))="","",INDEX(Itens!$J$2:$J$501,MATCH(219,Itens!$M$2:$M$501,0))),"")</f>
        <v/>
      </c>
      <c r="H231" s="18">
        <f>IFERROR(IF(INDEX(Itens!$K$2:$K$501,MATCH(219,Itens!$M$2:$M$501,0))="","",INDEX(Itens!$K$2:$K$501,MATCH(219,Itens!$M$2:$M$501,0))),"")</f>
        <v/>
      </c>
      <c r="I231" s="17">
        <f>IFERROR(IF(INDEX(Itens!$L$2:$L$501,MATCH(219,Itens!$M$2:$M$501,0))="","",INDEX(Itens!$L$2:$L$501,MATCH(219,Itens!$M$2:$M$501,0))),"")</f>
        <v/>
      </c>
    </row>
    <row r="232">
      <c r="A232" s="17">
        <f>IFERROR(IF(INDEX(Itens!$A$2:$A$501,MATCH(220,Itens!$M$2:$M$501,0))="","",INDEX(Itens!$A$2:$A$501,MATCH(220,Itens!$M$2:$M$501,0))),"")</f>
        <v/>
      </c>
      <c r="B232" s="17">
        <f>IFERROR(IF(INDEX(Itens!$C$2:$C$501,MATCH(220,Itens!$M$2:$M$501,0))="","",INDEX(Itens!$C$2:$C$501,MATCH(220,Itens!$M$2:$M$501,0))),"")</f>
        <v/>
      </c>
      <c r="C232" s="17">
        <f>IFERROR(IF(INDEX(Itens!$E$2:$E$501,MATCH(220,Itens!$M$2:$M$501,0))="","",INDEX(Itens!$E$2:$E$501,MATCH(220,Itens!$M$2:$M$501,0))),"")</f>
        <v/>
      </c>
      <c r="D232" s="17">
        <f>IFERROR(IF(INDEX(Itens!$F$2:$F$501,MATCH(220,Itens!$M$2:$M$501,0))="","",INDEX(Itens!$F$2:$F$501,MATCH(220,Itens!$M$2:$M$501,0))),"")</f>
        <v/>
      </c>
      <c r="E232" s="17">
        <f>IFERROR(IF(INDEX(Itens!$G$2:$G$501,MATCH(220,Itens!$M$2:$M$501,0))="","",INDEX(Itens!$G$2:$G$501,MATCH(220,Itens!$M$2:$M$501,0))),"")</f>
        <v/>
      </c>
      <c r="F232" s="17">
        <f>IFERROR(IF(INDEX(Itens!$I$2:$I$501,MATCH(220,Itens!$M$2:$M$501,0))="","",INDEX(Itens!$I$2:$I$501,MATCH(220,Itens!$M$2:$M$501,0))),"")</f>
        <v/>
      </c>
      <c r="G232" s="17">
        <f>IFERROR(IF(INDEX(Itens!$J$2:$J$501,MATCH(220,Itens!$M$2:$M$501,0))="","",INDEX(Itens!$J$2:$J$501,MATCH(220,Itens!$M$2:$M$501,0))),"")</f>
        <v/>
      </c>
      <c r="H232" s="18">
        <f>IFERROR(IF(INDEX(Itens!$K$2:$K$501,MATCH(220,Itens!$M$2:$M$501,0))="","",INDEX(Itens!$K$2:$K$501,MATCH(220,Itens!$M$2:$M$501,0))),"")</f>
        <v/>
      </c>
      <c r="I232" s="17">
        <f>IFERROR(IF(INDEX(Itens!$L$2:$L$501,MATCH(220,Itens!$M$2:$M$501,0))="","",INDEX(Itens!$L$2:$L$501,MATCH(220,Itens!$M$2:$M$501,0))),"")</f>
        <v/>
      </c>
    </row>
    <row r="233">
      <c r="A233" s="17">
        <f>IFERROR(IF(INDEX(Itens!$A$2:$A$501,MATCH(221,Itens!$M$2:$M$501,0))="","",INDEX(Itens!$A$2:$A$501,MATCH(221,Itens!$M$2:$M$501,0))),"")</f>
        <v/>
      </c>
      <c r="B233" s="17">
        <f>IFERROR(IF(INDEX(Itens!$C$2:$C$501,MATCH(221,Itens!$M$2:$M$501,0))="","",INDEX(Itens!$C$2:$C$501,MATCH(221,Itens!$M$2:$M$501,0))),"")</f>
        <v/>
      </c>
      <c r="C233" s="17">
        <f>IFERROR(IF(INDEX(Itens!$E$2:$E$501,MATCH(221,Itens!$M$2:$M$501,0))="","",INDEX(Itens!$E$2:$E$501,MATCH(221,Itens!$M$2:$M$501,0))),"")</f>
        <v/>
      </c>
      <c r="D233" s="17">
        <f>IFERROR(IF(INDEX(Itens!$F$2:$F$501,MATCH(221,Itens!$M$2:$M$501,0))="","",INDEX(Itens!$F$2:$F$501,MATCH(221,Itens!$M$2:$M$501,0))),"")</f>
        <v/>
      </c>
      <c r="E233" s="17">
        <f>IFERROR(IF(INDEX(Itens!$G$2:$G$501,MATCH(221,Itens!$M$2:$M$501,0))="","",INDEX(Itens!$G$2:$G$501,MATCH(221,Itens!$M$2:$M$501,0))),"")</f>
        <v/>
      </c>
      <c r="F233" s="17">
        <f>IFERROR(IF(INDEX(Itens!$I$2:$I$501,MATCH(221,Itens!$M$2:$M$501,0))="","",INDEX(Itens!$I$2:$I$501,MATCH(221,Itens!$M$2:$M$501,0))),"")</f>
        <v/>
      </c>
      <c r="G233" s="17">
        <f>IFERROR(IF(INDEX(Itens!$J$2:$J$501,MATCH(221,Itens!$M$2:$M$501,0))="","",INDEX(Itens!$J$2:$J$501,MATCH(221,Itens!$M$2:$M$501,0))),"")</f>
        <v/>
      </c>
      <c r="H233" s="18">
        <f>IFERROR(IF(INDEX(Itens!$K$2:$K$501,MATCH(221,Itens!$M$2:$M$501,0))="","",INDEX(Itens!$K$2:$K$501,MATCH(221,Itens!$M$2:$M$501,0))),"")</f>
        <v/>
      </c>
      <c r="I233" s="17">
        <f>IFERROR(IF(INDEX(Itens!$L$2:$L$501,MATCH(221,Itens!$M$2:$M$501,0))="","",INDEX(Itens!$L$2:$L$501,MATCH(221,Itens!$M$2:$M$501,0))),"")</f>
        <v/>
      </c>
    </row>
    <row r="234">
      <c r="A234" s="17">
        <f>IFERROR(IF(INDEX(Itens!$A$2:$A$501,MATCH(222,Itens!$M$2:$M$501,0))="","",INDEX(Itens!$A$2:$A$501,MATCH(222,Itens!$M$2:$M$501,0))),"")</f>
        <v/>
      </c>
      <c r="B234" s="17">
        <f>IFERROR(IF(INDEX(Itens!$C$2:$C$501,MATCH(222,Itens!$M$2:$M$501,0))="","",INDEX(Itens!$C$2:$C$501,MATCH(222,Itens!$M$2:$M$501,0))),"")</f>
        <v/>
      </c>
      <c r="C234" s="17">
        <f>IFERROR(IF(INDEX(Itens!$E$2:$E$501,MATCH(222,Itens!$M$2:$M$501,0))="","",INDEX(Itens!$E$2:$E$501,MATCH(222,Itens!$M$2:$M$501,0))),"")</f>
        <v/>
      </c>
      <c r="D234" s="17">
        <f>IFERROR(IF(INDEX(Itens!$F$2:$F$501,MATCH(222,Itens!$M$2:$M$501,0))="","",INDEX(Itens!$F$2:$F$501,MATCH(222,Itens!$M$2:$M$501,0))),"")</f>
        <v/>
      </c>
      <c r="E234" s="17">
        <f>IFERROR(IF(INDEX(Itens!$G$2:$G$501,MATCH(222,Itens!$M$2:$M$501,0))="","",INDEX(Itens!$G$2:$G$501,MATCH(222,Itens!$M$2:$M$501,0))),"")</f>
        <v/>
      </c>
      <c r="F234" s="17">
        <f>IFERROR(IF(INDEX(Itens!$I$2:$I$501,MATCH(222,Itens!$M$2:$M$501,0))="","",INDEX(Itens!$I$2:$I$501,MATCH(222,Itens!$M$2:$M$501,0))),"")</f>
        <v/>
      </c>
      <c r="G234" s="17">
        <f>IFERROR(IF(INDEX(Itens!$J$2:$J$501,MATCH(222,Itens!$M$2:$M$501,0))="","",INDEX(Itens!$J$2:$J$501,MATCH(222,Itens!$M$2:$M$501,0))),"")</f>
        <v/>
      </c>
      <c r="H234" s="18">
        <f>IFERROR(IF(INDEX(Itens!$K$2:$K$501,MATCH(222,Itens!$M$2:$M$501,0))="","",INDEX(Itens!$K$2:$K$501,MATCH(222,Itens!$M$2:$M$501,0))),"")</f>
        <v/>
      </c>
      <c r="I234" s="17">
        <f>IFERROR(IF(INDEX(Itens!$L$2:$L$501,MATCH(222,Itens!$M$2:$M$501,0))="","",INDEX(Itens!$L$2:$L$501,MATCH(222,Itens!$M$2:$M$501,0))),"")</f>
        <v/>
      </c>
    </row>
    <row r="235">
      <c r="A235" s="17">
        <f>IFERROR(IF(INDEX(Itens!$A$2:$A$501,MATCH(223,Itens!$M$2:$M$501,0))="","",INDEX(Itens!$A$2:$A$501,MATCH(223,Itens!$M$2:$M$501,0))),"")</f>
        <v/>
      </c>
      <c r="B235" s="17">
        <f>IFERROR(IF(INDEX(Itens!$C$2:$C$501,MATCH(223,Itens!$M$2:$M$501,0))="","",INDEX(Itens!$C$2:$C$501,MATCH(223,Itens!$M$2:$M$501,0))),"")</f>
        <v/>
      </c>
      <c r="C235" s="17">
        <f>IFERROR(IF(INDEX(Itens!$E$2:$E$501,MATCH(223,Itens!$M$2:$M$501,0))="","",INDEX(Itens!$E$2:$E$501,MATCH(223,Itens!$M$2:$M$501,0))),"")</f>
        <v/>
      </c>
      <c r="D235" s="17">
        <f>IFERROR(IF(INDEX(Itens!$F$2:$F$501,MATCH(223,Itens!$M$2:$M$501,0))="","",INDEX(Itens!$F$2:$F$501,MATCH(223,Itens!$M$2:$M$501,0))),"")</f>
        <v/>
      </c>
      <c r="E235" s="17">
        <f>IFERROR(IF(INDEX(Itens!$G$2:$G$501,MATCH(223,Itens!$M$2:$M$501,0))="","",INDEX(Itens!$G$2:$G$501,MATCH(223,Itens!$M$2:$M$501,0))),"")</f>
        <v/>
      </c>
      <c r="F235" s="17">
        <f>IFERROR(IF(INDEX(Itens!$I$2:$I$501,MATCH(223,Itens!$M$2:$M$501,0))="","",INDEX(Itens!$I$2:$I$501,MATCH(223,Itens!$M$2:$M$501,0))),"")</f>
        <v/>
      </c>
      <c r="G235" s="17">
        <f>IFERROR(IF(INDEX(Itens!$J$2:$J$501,MATCH(223,Itens!$M$2:$M$501,0))="","",INDEX(Itens!$J$2:$J$501,MATCH(223,Itens!$M$2:$M$501,0))),"")</f>
        <v/>
      </c>
      <c r="H235" s="18">
        <f>IFERROR(IF(INDEX(Itens!$K$2:$K$501,MATCH(223,Itens!$M$2:$M$501,0))="","",INDEX(Itens!$K$2:$K$501,MATCH(223,Itens!$M$2:$M$501,0))),"")</f>
        <v/>
      </c>
      <c r="I235" s="17">
        <f>IFERROR(IF(INDEX(Itens!$L$2:$L$501,MATCH(223,Itens!$M$2:$M$501,0))="","",INDEX(Itens!$L$2:$L$501,MATCH(223,Itens!$M$2:$M$501,0))),"")</f>
        <v/>
      </c>
    </row>
    <row r="236">
      <c r="A236" s="17">
        <f>IFERROR(IF(INDEX(Itens!$A$2:$A$501,MATCH(224,Itens!$M$2:$M$501,0))="","",INDEX(Itens!$A$2:$A$501,MATCH(224,Itens!$M$2:$M$501,0))),"")</f>
        <v/>
      </c>
      <c r="B236" s="17">
        <f>IFERROR(IF(INDEX(Itens!$C$2:$C$501,MATCH(224,Itens!$M$2:$M$501,0))="","",INDEX(Itens!$C$2:$C$501,MATCH(224,Itens!$M$2:$M$501,0))),"")</f>
        <v/>
      </c>
      <c r="C236" s="17">
        <f>IFERROR(IF(INDEX(Itens!$E$2:$E$501,MATCH(224,Itens!$M$2:$M$501,0))="","",INDEX(Itens!$E$2:$E$501,MATCH(224,Itens!$M$2:$M$501,0))),"")</f>
        <v/>
      </c>
      <c r="D236" s="17">
        <f>IFERROR(IF(INDEX(Itens!$F$2:$F$501,MATCH(224,Itens!$M$2:$M$501,0))="","",INDEX(Itens!$F$2:$F$501,MATCH(224,Itens!$M$2:$M$501,0))),"")</f>
        <v/>
      </c>
      <c r="E236" s="17">
        <f>IFERROR(IF(INDEX(Itens!$G$2:$G$501,MATCH(224,Itens!$M$2:$M$501,0))="","",INDEX(Itens!$G$2:$G$501,MATCH(224,Itens!$M$2:$M$501,0))),"")</f>
        <v/>
      </c>
      <c r="F236" s="17">
        <f>IFERROR(IF(INDEX(Itens!$I$2:$I$501,MATCH(224,Itens!$M$2:$M$501,0))="","",INDEX(Itens!$I$2:$I$501,MATCH(224,Itens!$M$2:$M$501,0))),"")</f>
        <v/>
      </c>
      <c r="G236" s="17">
        <f>IFERROR(IF(INDEX(Itens!$J$2:$J$501,MATCH(224,Itens!$M$2:$M$501,0))="","",INDEX(Itens!$J$2:$J$501,MATCH(224,Itens!$M$2:$M$501,0))),"")</f>
        <v/>
      </c>
      <c r="H236" s="18">
        <f>IFERROR(IF(INDEX(Itens!$K$2:$K$501,MATCH(224,Itens!$M$2:$M$501,0))="","",INDEX(Itens!$K$2:$K$501,MATCH(224,Itens!$M$2:$M$501,0))),"")</f>
        <v/>
      </c>
      <c r="I236" s="17">
        <f>IFERROR(IF(INDEX(Itens!$L$2:$L$501,MATCH(224,Itens!$M$2:$M$501,0))="","",INDEX(Itens!$L$2:$L$501,MATCH(224,Itens!$M$2:$M$501,0))),"")</f>
        <v/>
      </c>
    </row>
    <row r="237">
      <c r="A237" s="17">
        <f>IFERROR(IF(INDEX(Itens!$A$2:$A$501,MATCH(225,Itens!$M$2:$M$501,0))="","",INDEX(Itens!$A$2:$A$501,MATCH(225,Itens!$M$2:$M$501,0))),"")</f>
        <v/>
      </c>
      <c r="B237" s="17">
        <f>IFERROR(IF(INDEX(Itens!$C$2:$C$501,MATCH(225,Itens!$M$2:$M$501,0))="","",INDEX(Itens!$C$2:$C$501,MATCH(225,Itens!$M$2:$M$501,0))),"")</f>
        <v/>
      </c>
      <c r="C237" s="17">
        <f>IFERROR(IF(INDEX(Itens!$E$2:$E$501,MATCH(225,Itens!$M$2:$M$501,0))="","",INDEX(Itens!$E$2:$E$501,MATCH(225,Itens!$M$2:$M$501,0))),"")</f>
        <v/>
      </c>
      <c r="D237" s="17">
        <f>IFERROR(IF(INDEX(Itens!$F$2:$F$501,MATCH(225,Itens!$M$2:$M$501,0))="","",INDEX(Itens!$F$2:$F$501,MATCH(225,Itens!$M$2:$M$501,0))),"")</f>
        <v/>
      </c>
      <c r="E237" s="17">
        <f>IFERROR(IF(INDEX(Itens!$G$2:$G$501,MATCH(225,Itens!$M$2:$M$501,0))="","",INDEX(Itens!$G$2:$G$501,MATCH(225,Itens!$M$2:$M$501,0))),"")</f>
        <v/>
      </c>
      <c r="F237" s="17">
        <f>IFERROR(IF(INDEX(Itens!$I$2:$I$501,MATCH(225,Itens!$M$2:$M$501,0))="","",INDEX(Itens!$I$2:$I$501,MATCH(225,Itens!$M$2:$M$501,0))),"")</f>
        <v/>
      </c>
      <c r="G237" s="17">
        <f>IFERROR(IF(INDEX(Itens!$J$2:$J$501,MATCH(225,Itens!$M$2:$M$501,0))="","",INDEX(Itens!$J$2:$J$501,MATCH(225,Itens!$M$2:$M$501,0))),"")</f>
        <v/>
      </c>
      <c r="H237" s="18">
        <f>IFERROR(IF(INDEX(Itens!$K$2:$K$501,MATCH(225,Itens!$M$2:$M$501,0))="","",INDEX(Itens!$K$2:$K$501,MATCH(225,Itens!$M$2:$M$501,0))),"")</f>
        <v/>
      </c>
      <c r="I237" s="17">
        <f>IFERROR(IF(INDEX(Itens!$L$2:$L$501,MATCH(225,Itens!$M$2:$M$501,0))="","",INDEX(Itens!$L$2:$L$501,MATCH(225,Itens!$M$2:$M$501,0))),"")</f>
        <v/>
      </c>
    </row>
    <row r="238">
      <c r="A238" s="17">
        <f>IFERROR(IF(INDEX(Itens!$A$2:$A$501,MATCH(226,Itens!$M$2:$M$501,0))="","",INDEX(Itens!$A$2:$A$501,MATCH(226,Itens!$M$2:$M$501,0))),"")</f>
        <v/>
      </c>
      <c r="B238" s="17">
        <f>IFERROR(IF(INDEX(Itens!$C$2:$C$501,MATCH(226,Itens!$M$2:$M$501,0))="","",INDEX(Itens!$C$2:$C$501,MATCH(226,Itens!$M$2:$M$501,0))),"")</f>
        <v/>
      </c>
      <c r="C238" s="17">
        <f>IFERROR(IF(INDEX(Itens!$E$2:$E$501,MATCH(226,Itens!$M$2:$M$501,0))="","",INDEX(Itens!$E$2:$E$501,MATCH(226,Itens!$M$2:$M$501,0))),"")</f>
        <v/>
      </c>
      <c r="D238" s="17">
        <f>IFERROR(IF(INDEX(Itens!$F$2:$F$501,MATCH(226,Itens!$M$2:$M$501,0))="","",INDEX(Itens!$F$2:$F$501,MATCH(226,Itens!$M$2:$M$501,0))),"")</f>
        <v/>
      </c>
      <c r="E238" s="17">
        <f>IFERROR(IF(INDEX(Itens!$G$2:$G$501,MATCH(226,Itens!$M$2:$M$501,0))="","",INDEX(Itens!$G$2:$G$501,MATCH(226,Itens!$M$2:$M$501,0))),"")</f>
        <v/>
      </c>
      <c r="F238" s="17">
        <f>IFERROR(IF(INDEX(Itens!$I$2:$I$501,MATCH(226,Itens!$M$2:$M$501,0))="","",INDEX(Itens!$I$2:$I$501,MATCH(226,Itens!$M$2:$M$501,0))),"")</f>
        <v/>
      </c>
      <c r="G238" s="17">
        <f>IFERROR(IF(INDEX(Itens!$J$2:$J$501,MATCH(226,Itens!$M$2:$M$501,0))="","",INDEX(Itens!$J$2:$J$501,MATCH(226,Itens!$M$2:$M$501,0))),"")</f>
        <v/>
      </c>
      <c r="H238" s="18">
        <f>IFERROR(IF(INDEX(Itens!$K$2:$K$501,MATCH(226,Itens!$M$2:$M$501,0))="","",INDEX(Itens!$K$2:$K$501,MATCH(226,Itens!$M$2:$M$501,0))),"")</f>
        <v/>
      </c>
      <c r="I238" s="17">
        <f>IFERROR(IF(INDEX(Itens!$L$2:$L$501,MATCH(226,Itens!$M$2:$M$501,0))="","",INDEX(Itens!$L$2:$L$501,MATCH(226,Itens!$M$2:$M$501,0))),"")</f>
        <v/>
      </c>
    </row>
    <row r="239">
      <c r="A239" s="17">
        <f>IFERROR(IF(INDEX(Itens!$A$2:$A$501,MATCH(227,Itens!$M$2:$M$501,0))="","",INDEX(Itens!$A$2:$A$501,MATCH(227,Itens!$M$2:$M$501,0))),"")</f>
        <v/>
      </c>
      <c r="B239" s="17">
        <f>IFERROR(IF(INDEX(Itens!$C$2:$C$501,MATCH(227,Itens!$M$2:$M$501,0))="","",INDEX(Itens!$C$2:$C$501,MATCH(227,Itens!$M$2:$M$501,0))),"")</f>
        <v/>
      </c>
      <c r="C239" s="17">
        <f>IFERROR(IF(INDEX(Itens!$E$2:$E$501,MATCH(227,Itens!$M$2:$M$501,0))="","",INDEX(Itens!$E$2:$E$501,MATCH(227,Itens!$M$2:$M$501,0))),"")</f>
        <v/>
      </c>
      <c r="D239" s="17">
        <f>IFERROR(IF(INDEX(Itens!$F$2:$F$501,MATCH(227,Itens!$M$2:$M$501,0))="","",INDEX(Itens!$F$2:$F$501,MATCH(227,Itens!$M$2:$M$501,0))),"")</f>
        <v/>
      </c>
      <c r="E239" s="17">
        <f>IFERROR(IF(INDEX(Itens!$G$2:$G$501,MATCH(227,Itens!$M$2:$M$501,0))="","",INDEX(Itens!$G$2:$G$501,MATCH(227,Itens!$M$2:$M$501,0))),"")</f>
        <v/>
      </c>
      <c r="F239" s="17">
        <f>IFERROR(IF(INDEX(Itens!$I$2:$I$501,MATCH(227,Itens!$M$2:$M$501,0))="","",INDEX(Itens!$I$2:$I$501,MATCH(227,Itens!$M$2:$M$501,0))),"")</f>
        <v/>
      </c>
      <c r="G239" s="17">
        <f>IFERROR(IF(INDEX(Itens!$J$2:$J$501,MATCH(227,Itens!$M$2:$M$501,0))="","",INDEX(Itens!$J$2:$J$501,MATCH(227,Itens!$M$2:$M$501,0))),"")</f>
        <v/>
      </c>
      <c r="H239" s="18">
        <f>IFERROR(IF(INDEX(Itens!$K$2:$K$501,MATCH(227,Itens!$M$2:$M$501,0))="","",INDEX(Itens!$K$2:$K$501,MATCH(227,Itens!$M$2:$M$501,0))),"")</f>
        <v/>
      </c>
      <c r="I239" s="17">
        <f>IFERROR(IF(INDEX(Itens!$L$2:$L$501,MATCH(227,Itens!$M$2:$M$501,0))="","",INDEX(Itens!$L$2:$L$501,MATCH(227,Itens!$M$2:$M$501,0))),"")</f>
        <v/>
      </c>
    </row>
    <row r="240">
      <c r="A240" s="17">
        <f>IFERROR(IF(INDEX(Itens!$A$2:$A$501,MATCH(228,Itens!$M$2:$M$501,0))="","",INDEX(Itens!$A$2:$A$501,MATCH(228,Itens!$M$2:$M$501,0))),"")</f>
        <v/>
      </c>
      <c r="B240" s="17">
        <f>IFERROR(IF(INDEX(Itens!$C$2:$C$501,MATCH(228,Itens!$M$2:$M$501,0))="","",INDEX(Itens!$C$2:$C$501,MATCH(228,Itens!$M$2:$M$501,0))),"")</f>
        <v/>
      </c>
      <c r="C240" s="17">
        <f>IFERROR(IF(INDEX(Itens!$E$2:$E$501,MATCH(228,Itens!$M$2:$M$501,0))="","",INDEX(Itens!$E$2:$E$501,MATCH(228,Itens!$M$2:$M$501,0))),"")</f>
        <v/>
      </c>
      <c r="D240" s="17">
        <f>IFERROR(IF(INDEX(Itens!$F$2:$F$501,MATCH(228,Itens!$M$2:$M$501,0))="","",INDEX(Itens!$F$2:$F$501,MATCH(228,Itens!$M$2:$M$501,0))),"")</f>
        <v/>
      </c>
      <c r="E240" s="17">
        <f>IFERROR(IF(INDEX(Itens!$G$2:$G$501,MATCH(228,Itens!$M$2:$M$501,0))="","",INDEX(Itens!$G$2:$G$501,MATCH(228,Itens!$M$2:$M$501,0))),"")</f>
        <v/>
      </c>
      <c r="F240" s="17">
        <f>IFERROR(IF(INDEX(Itens!$I$2:$I$501,MATCH(228,Itens!$M$2:$M$501,0))="","",INDEX(Itens!$I$2:$I$501,MATCH(228,Itens!$M$2:$M$501,0))),"")</f>
        <v/>
      </c>
      <c r="G240" s="17">
        <f>IFERROR(IF(INDEX(Itens!$J$2:$J$501,MATCH(228,Itens!$M$2:$M$501,0))="","",INDEX(Itens!$J$2:$J$501,MATCH(228,Itens!$M$2:$M$501,0))),"")</f>
        <v/>
      </c>
      <c r="H240" s="18">
        <f>IFERROR(IF(INDEX(Itens!$K$2:$K$501,MATCH(228,Itens!$M$2:$M$501,0))="","",INDEX(Itens!$K$2:$K$501,MATCH(228,Itens!$M$2:$M$501,0))),"")</f>
        <v/>
      </c>
      <c r="I240" s="17">
        <f>IFERROR(IF(INDEX(Itens!$L$2:$L$501,MATCH(228,Itens!$M$2:$M$501,0))="","",INDEX(Itens!$L$2:$L$501,MATCH(228,Itens!$M$2:$M$501,0))),"")</f>
        <v/>
      </c>
    </row>
    <row r="241">
      <c r="A241" s="17">
        <f>IFERROR(IF(INDEX(Itens!$A$2:$A$501,MATCH(229,Itens!$M$2:$M$501,0))="","",INDEX(Itens!$A$2:$A$501,MATCH(229,Itens!$M$2:$M$501,0))),"")</f>
        <v/>
      </c>
      <c r="B241" s="17">
        <f>IFERROR(IF(INDEX(Itens!$C$2:$C$501,MATCH(229,Itens!$M$2:$M$501,0))="","",INDEX(Itens!$C$2:$C$501,MATCH(229,Itens!$M$2:$M$501,0))),"")</f>
        <v/>
      </c>
      <c r="C241" s="17">
        <f>IFERROR(IF(INDEX(Itens!$E$2:$E$501,MATCH(229,Itens!$M$2:$M$501,0))="","",INDEX(Itens!$E$2:$E$501,MATCH(229,Itens!$M$2:$M$501,0))),"")</f>
        <v/>
      </c>
      <c r="D241" s="17">
        <f>IFERROR(IF(INDEX(Itens!$F$2:$F$501,MATCH(229,Itens!$M$2:$M$501,0))="","",INDEX(Itens!$F$2:$F$501,MATCH(229,Itens!$M$2:$M$501,0))),"")</f>
        <v/>
      </c>
      <c r="E241" s="17">
        <f>IFERROR(IF(INDEX(Itens!$G$2:$G$501,MATCH(229,Itens!$M$2:$M$501,0))="","",INDEX(Itens!$G$2:$G$501,MATCH(229,Itens!$M$2:$M$501,0))),"")</f>
        <v/>
      </c>
      <c r="F241" s="17">
        <f>IFERROR(IF(INDEX(Itens!$I$2:$I$501,MATCH(229,Itens!$M$2:$M$501,0))="","",INDEX(Itens!$I$2:$I$501,MATCH(229,Itens!$M$2:$M$501,0))),"")</f>
        <v/>
      </c>
      <c r="G241" s="17">
        <f>IFERROR(IF(INDEX(Itens!$J$2:$J$501,MATCH(229,Itens!$M$2:$M$501,0))="","",INDEX(Itens!$J$2:$J$501,MATCH(229,Itens!$M$2:$M$501,0))),"")</f>
        <v/>
      </c>
      <c r="H241" s="18">
        <f>IFERROR(IF(INDEX(Itens!$K$2:$K$501,MATCH(229,Itens!$M$2:$M$501,0))="","",INDEX(Itens!$K$2:$K$501,MATCH(229,Itens!$M$2:$M$501,0))),"")</f>
        <v/>
      </c>
      <c r="I241" s="17">
        <f>IFERROR(IF(INDEX(Itens!$L$2:$L$501,MATCH(229,Itens!$M$2:$M$501,0))="","",INDEX(Itens!$L$2:$L$501,MATCH(229,Itens!$M$2:$M$501,0))),"")</f>
        <v/>
      </c>
    </row>
    <row r="242">
      <c r="A242" s="17">
        <f>IFERROR(IF(INDEX(Itens!$A$2:$A$501,MATCH(230,Itens!$M$2:$M$501,0))="","",INDEX(Itens!$A$2:$A$501,MATCH(230,Itens!$M$2:$M$501,0))),"")</f>
        <v/>
      </c>
      <c r="B242" s="17">
        <f>IFERROR(IF(INDEX(Itens!$C$2:$C$501,MATCH(230,Itens!$M$2:$M$501,0))="","",INDEX(Itens!$C$2:$C$501,MATCH(230,Itens!$M$2:$M$501,0))),"")</f>
        <v/>
      </c>
      <c r="C242" s="17">
        <f>IFERROR(IF(INDEX(Itens!$E$2:$E$501,MATCH(230,Itens!$M$2:$M$501,0))="","",INDEX(Itens!$E$2:$E$501,MATCH(230,Itens!$M$2:$M$501,0))),"")</f>
        <v/>
      </c>
      <c r="D242" s="17">
        <f>IFERROR(IF(INDEX(Itens!$F$2:$F$501,MATCH(230,Itens!$M$2:$M$501,0))="","",INDEX(Itens!$F$2:$F$501,MATCH(230,Itens!$M$2:$M$501,0))),"")</f>
        <v/>
      </c>
      <c r="E242" s="17">
        <f>IFERROR(IF(INDEX(Itens!$G$2:$G$501,MATCH(230,Itens!$M$2:$M$501,0))="","",INDEX(Itens!$G$2:$G$501,MATCH(230,Itens!$M$2:$M$501,0))),"")</f>
        <v/>
      </c>
      <c r="F242" s="17">
        <f>IFERROR(IF(INDEX(Itens!$I$2:$I$501,MATCH(230,Itens!$M$2:$M$501,0))="","",INDEX(Itens!$I$2:$I$501,MATCH(230,Itens!$M$2:$M$501,0))),"")</f>
        <v/>
      </c>
      <c r="G242" s="17">
        <f>IFERROR(IF(INDEX(Itens!$J$2:$J$501,MATCH(230,Itens!$M$2:$M$501,0))="","",INDEX(Itens!$J$2:$J$501,MATCH(230,Itens!$M$2:$M$501,0))),"")</f>
        <v/>
      </c>
      <c r="H242" s="18">
        <f>IFERROR(IF(INDEX(Itens!$K$2:$K$501,MATCH(230,Itens!$M$2:$M$501,0))="","",INDEX(Itens!$K$2:$K$501,MATCH(230,Itens!$M$2:$M$501,0))),"")</f>
        <v/>
      </c>
      <c r="I242" s="17">
        <f>IFERROR(IF(INDEX(Itens!$L$2:$L$501,MATCH(230,Itens!$M$2:$M$501,0))="","",INDEX(Itens!$L$2:$L$501,MATCH(230,Itens!$M$2:$M$501,0))),"")</f>
        <v/>
      </c>
    </row>
    <row r="243">
      <c r="A243" s="17">
        <f>IFERROR(IF(INDEX(Itens!$A$2:$A$501,MATCH(231,Itens!$M$2:$M$501,0))="","",INDEX(Itens!$A$2:$A$501,MATCH(231,Itens!$M$2:$M$501,0))),"")</f>
        <v/>
      </c>
      <c r="B243" s="17">
        <f>IFERROR(IF(INDEX(Itens!$C$2:$C$501,MATCH(231,Itens!$M$2:$M$501,0))="","",INDEX(Itens!$C$2:$C$501,MATCH(231,Itens!$M$2:$M$501,0))),"")</f>
        <v/>
      </c>
      <c r="C243" s="17">
        <f>IFERROR(IF(INDEX(Itens!$E$2:$E$501,MATCH(231,Itens!$M$2:$M$501,0))="","",INDEX(Itens!$E$2:$E$501,MATCH(231,Itens!$M$2:$M$501,0))),"")</f>
        <v/>
      </c>
      <c r="D243" s="17">
        <f>IFERROR(IF(INDEX(Itens!$F$2:$F$501,MATCH(231,Itens!$M$2:$M$501,0))="","",INDEX(Itens!$F$2:$F$501,MATCH(231,Itens!$M$2:$M$501,0))),"")</f>
        <v/>
      </c>
      <c r="E243" s="17">
        <f>IFERROR(IF(INDEX(Itens!$G$2:$G$501,MATCH(231,Itens!$M$2:$M$501,0))="","",INDEX(Itens!$G$2:$G$501,MATCH(231,Itens!$M$2:$M$501,0))),"")</f>
        <v/>
      </c>
      <c r="F243" s="17">
        <f>IFERROR(IF(INDEX(Itens!$I$2:$I$501,MATCH(231,Itens!$M$2:$M$501,0))="","",INDEX(Itens!$I$2:$I$501,MATCH(231,Itens!$M$2:$M$501,0))),"")</f>
        <v/>
      </c>
      <c r="G243" s="17">
        <f>IFERROR(IF(INDEX(Itens!$J$2:$J$501,MATCH(231,Itens!$M$2:$M$501,0))="","",INDEX(Itens!$J$2:$J$501,MATCH(231,Itens!$M$2:$M$501,0))),"")</f>
        <v/>
      </c>
      <c r="H243" s="18">
        <f>IFERROR(IF(INDEX(Itens!$K$2:$K$501,MATCH(231,Itens!$M$2:$M$501,0))="","",INDEX(Itens!$K$2:$K$501,MATCH(231,Itens!$M$2:$M$501,0))),"")</f>
        <v/>
      </c>
      <c r="I243" s="17">
        <f>IFERROR(IF(INDEX(Itens!$L$2:$L$501,MATCH(231,Itens!$M$2:$M$501,0))="","",INDEX(Itens!$L$2:$L$501,MATCH(231,Itens!$M$2:$M$501,0))),"")</f>
        <v/>
      </c>
    </row>
    <row r="244">
      <c r="A244" s="17">
        <f>IFERROR(IF(INDEX(Itens!$A$2:$A$501,MATCH(232,Itens!$M$2:$M$501,0))="","",INDEX(Itens!$A$2:$A$501,MATCH(232,Itens!$M$2:$M$501,0))),"")</f>
        <v/>
      </c>
      <c r="B244" s="17">
        <f>IFERROR(IF(INDEX(Itens!$C$2:$C$501,MATCH(232,Itens!$M$2:$M$501,0))="","",INDEX(Itens!$C$2:$C$501,MATCH(232,Itens!$M$2:$M$501,0))),"")</f>
        <v/>
      </c>
      <c r="C244" s="17">
        <f>IFERROR(IF(INDEX(Itens!$E$2:$E$501,MATCH(232,Itens!$M$2:$M$501,0))="","",INDEX(Itens!$E$2:$E$501,MATCH(232,Itens!$M$2:$M$501,0))),"")</f>
        <v/>
      </c>
      <c r="D244" s="17">
        <f>IFERROR(IF(INDEX(Itens!$F$2:$F$501,MATCH(232,Itens!$M$2:$M$501,0))="","",INDEX(Itens!$F$2:$F$501,MATCH(232,Itens!$M$2:$M$501,0))),"")</f>
        <v/>
      </c>
      <c r="E244" s="17">
        <f>IFERROR(IF(INDEX(Itens!$G$2:$G$501,MATCH(232,Itens!$M$2:$M$501,0))="","",INDEX(Itens!$G$2:$G$501,MATCH(232,Itens!$M$2:$M$501,0))),"")</f>
        <v/>
      </c>
      <c r="F244" s="17">
        <f>IFERROR(IF(INDEX(Itens!$I$2:$I$501,MATCH(232,Itens!$M$2:$M$501,0))="","",INDEX(Itens!$I$2:$I$501,MATCH(232,Itens!$M$2:$M$501,0))),"")</f>
        <v/>
      </c>
      <c r="G244" s="17">
        <f>IFERROR(IF(INDEX(Itens!$J$2:$J$501,MATCH(232,Itens!$M$2:$M$501,0))="","",INDEX(Itens!$J$2:$J$501,MATCH(232,Itens!$M$2:$M$501,0))),"")</f>
        <v/>
      </c>
      <c r="H244" s="18">
        <f>IFERROR(IF(INDEX(Itens!$K$2:$K$501,MATCH(232,Itens!$M$2:$M$501,0))="","",INDEX(Itens!$K$2:$K$501,MATCH(232,Itens!$M$2:$M$501,0))),"")</f>
        <v/>
      </c>
      <c r="I244" s="17">
        <f>IFERROR(IF(INDEX(Itens!$L$2:$L$501,MATCH(232,Itens!$M$2:$M$501,0))="","",INDEX(Itens!$L$2:$L$501,MATCH(232,Itens!$M$2:$M$501,0))),"")</f>
        <v/>
      </c>
    </row>
    <row r="245">
      <c r="A245" s="17">
        <f>IFERROR(IF(INDEX(Itens!$A$2:$A$501,MATCH(233,Itens!$M$2:$M$501,0))="","",INDEX(Itens!$A$2:$A$501,MATCH(233,Itens!$M$2:$M$501,0))),"")</f>
        <v/>
      </c>
      <c r="B245" s="17">
        <f>IFERROR(IF(INDEX(Itens!$C$2:$C$501,MATCH(233,Itens!$M$2:$M$501,0))="","",INDEX(Itens!$C$2:$C$501,MATCH(233,Itens!$M$2:$M$501,0))),"")</f>
        <v/>
      </c>
      <c r="C245" s="17">
        <f>IFERROR(IF(INDEX(Itens!$E$2:$E$501,MATCH(233,Itens!$M$2:$M$501,0))="","",INDEX(Itens!$E$2:$E$501,MATCH(233,Itens!$M$2:$M$501,0))),"")</f>
        <v/>
      </c>
      <c r="D245" s="17">
        <f>IFERROR(IF(INDEX(Itens!$F$2:$F$501,MATCH(233,Itens!$M$2:$M$501,0))="","",INDEX(Itens!$F$2:$F$501,MATCH(233,Itens!$M$2:$M$501,0))),"")</f>
        <v/>
      </c>
      <c r="E245" s="17">
        <f>IFERROR(IF(INDEX(Itens!$G$2:$G$501,MATCH(233,Itens!$M$2:$M$501,0))="","",INDEX(Itens!$G$2:$G$501,MATCH(233,Itens!$M$2:$M$501,0))),"")</f>
        <v/>
      </c>
      <c r="F245" s="17">
        <f>IFERROR(IF(INDEX(Itens!$I$2:$I$501,MATCH(233,Itens!$M$2:$M$501,0))="","",INDEX(Itens!$I$2:$I$501,MATCH(233,Itens!$M$2:$M$501,0))),"")</f>
        <v/>
      </c>
      <c r="G245" s="17">
        <f>IFERROR(IF(INDEX(Itens!$J$2:$J$501,MATCH(233,Itens!$M$2:$M$501,0))="","",INDEX(Itens!$J$2:$J$501,MATCH(233,Itens!$M$2:$M$501,0))),"")</f>
        <v/>
      </c>
      <c r="H245" s="18">
        <f>IFERROR(IF(INDEX(Itens!$K$2:$K$501,MATCH(233,Itens!$M$2:$M$501,0))="","",INDEX(Itens!$K$2:$K$501,MATCH(233,Itens!$M$2:$M$501,0))),"")</f>
        <v/>
      </c>
      <c r="I245" s="17">
        <f>IFERROR(IF(INDEX(Itens!$L$2:$L$501,MATCH(233,Itens!$M$2:$M$501,0))="","",INDEX(Itens!$L$2:$L$501,MATCH(233,Itens!$M$2:$M$501,0))),"")</f>
        <v/>
      </c>
    </row>
    <row r="246">
      <c r="A246" s="17">
        <f>IFERROR(IF(INDEX(Itens!$A$2:$A$501,MATCH(234,Itens!$M$2:$M$501,0))="","",INDEX(Itens!$A$2:$A$501,MATCH(234,Itens!$M$2:$M$501,0))),"")</f>
        <v/>
      </c>
      <c r="B246" s="17">
        <f>IFERROR(IF(INDEX(Itens!$C$2:$C$501,MATCH(234,Itens!$M$2:$M$501,0))="","",INDEX(Itens!$C$2:$C$501,MATCH(234,Itens!$M$2:$M$501,0))),"")</f>
        <v/>
      </c>
      <c r="C246" s="17">
        <f>IFERROR(IF(INDEX(Itens!$E$2:$E$501,MATCH(234,Itens!$M$2:$M$501,0))="","",INDEX(Itens!$E$2:$E$501,MATCH(234,Itens!$M$2:$M$501,0))),"")</f>
        <v/>
      </c>
      <c r="D246" s="17">
        <f>IFERROR(IF(INDEX(Itens!$F$2:$F$501,MATCH(234,Itens!$M$2:$M$501,0))="","",INDEX(Itens!$F$2:$F$501,MATCH(234,Itens!$M$2:$M$501,0))),"")</f>
        <v/>
      </c>
      <c r="E246" s="17">
        <f>IFERROR(IF(INDEX(Itens!$G$2:$G$501,MATCH(234,Itens!$M$2:$M$501,0))="","",INDEX(Itens!$G$2:$G$501,MATCH(234,Itens!$M$2:$M$501,0))),"")</f>
        <v/>
      </c>
      <c r="F246" s="17">
        <f>IFERROR(IF(INDEX(Itens!$I$2:$I$501,MATCH(234,Itens!$M$2:$M$501,0))="","",INDEX(Itens!$I$2:$I$501,MATCH(234,Itens!$M$2:$M$501,0))),"")</f>
        <v/>
      </c>
      <c r="G246" s="17">
        <f>IFERROR(IF(INDEX(Itens!$J$2:$J$501,MATCH(234,Itens!$M$2:$M$501,0))="","",INDEX(Itens!$J$2:$J$501,MATCH(234,Itens!$M$2:$M$501,0))),"")</f>
        <v/>
      </c>
      <c r="H246" s="18">
        <f>IFERROR(IF(INDEX(Itens!$K$2:$K$501,MATCH(234,Itens!$M$2:$M$501,0))="","",INDEX(Itens!$K$2:$K$501,MATCH(234,Itens!$M$2:$M$501,0))),"")</f>
        <v/>
      </c>
      <c r="I246" s="17">
        <f>IFERROR(IF(INDEX(Itens!$L$2:$L$501,MATCH(234,Itens!$M$2:$M$501,0))="","",INDEX(Itens!$L$2:$L$501,MATCH(234,Itens!$M$2:$M$501,0))),"")</f>
        <v/>
      </c>
    </row>
    <row r="247">
      <c r="A247" s="17">
        <f>IFERROR(IF(INDEX(Itens!$A$2:$A$501,MATCH(235,Itens!$M$2:$M$501,0))="","",INDEX(Itens!$A$2:$A$501,MATCH(235,Itens!$M$2:$M$501,0))),"")</f>
        <v/>
      </c>
      <c r="B247" s="17">
        <f>IFERROR(IF(INDEX(Itens!$C$2:$C$501,MATCH(235,Itens!$M$2:$M$501,0))="","",INDEX(Itens!$C$2:$C$501,MATCH(235,Itens!$M$2:$M$501,0))),"")</f>
        <v/>
      </c>
      <c r="C247" s="17">
        <f>IFERROR(IF(INDEX(Itens!$E$2:$E$501,MATCH(235,Itens!$M$2:$M$501,0))="","",INDEX(Itens!$E$2:$E$501,MATCH(235,Itens!$M$2:$M$501,0))),"")</f>
        <v/>
      </c>
      <c r="D247" s="17">
        <f>IFERROR(IF(INDEX(Itens!$F$2:$F$501,MATCH(235,Itens!$M$2:$M$501,0))="","",INDEX(Itens!$F$2:$F$501,MATCH(235,Itens!$M$2:$M$501,0))),"")</f>
        <v/>
      </c>
      <c r="E247" s="17">
        <f>IFERROR(IF(INDEX(Itens!$G$2:$G$501,MATCH(235,Itens!$M$2:$M$501,0))="","",INDEX(Itens!$G$2:$G$501,MATCH(235,Itens!$M$2:$M$501,0))),"")</f>
        <v/>
      </c>
      <c r="F247" s="17">
        <f>IFERROR(IF(INDEX(Itens!$I$2:$I$501,MATCH(235,Itens!$M$2:$M$501,0))="","",INDEX(Itens!$I$2:$I$501,MATCH(235,Itens!$M$2:$M$501,0))),"")</f>
        <v/>
      </c>
      <c r="G247" s="17">
        <f>IFERROR(IF(INDEX(Itens!$J$2:$J$501,MATCH(235,Itens!$M$2:$M$501,0))="","",INDEX(Itens!$J$2:$J$501,MATCH(235,Itens!$M$2:$M$501,0))),"")</f>
        <v/>
      </c>
      <c r="H247" s="18">
        <f>IFERROR(IF(INDEX(Itens!$K$2:$K$501,MATCH(235,Itens!$M$2:$M$501,0))="","",INDEX(Itens!$K$2:$K$501,MATCH(235,Itens!$M$2:$M$501,0))),"")</f>
        <v/>
      </c>
      <c r="I247" s="17">
        <f>IFERROR(IF(INDEX(Itens!$L$2:$L$501,MATCH(235,Itens!$M$2:$M$501,0))="","",INDEX(Itens!$L$2:$L$501,MATCH(235,Itens!$M$2:$M$501,0))),"")</f>
        <v/>
      </c>
    </row>
    <row r="248">
      <c r="A248" s="17">
        <f>IFERROR(IF(INDEX(Itens!$A$2:$A$501,MATCH(236,Itens!$M$2:$M$501,0))="","",INDEX(Itens!$A$2:$A$501,MATCH(236,Itens!$M$2:$M$501,0))),"")</f>
        <v/>
      </c>
      <c r="B248" s="17">
        <f>IFERROR(IF(INDEX(Itens!$C$2:$C$501,MATCH(236,Itens!$M$2:$M$501,0))="","",INDEX(Itens!$C$2:$C$501,MATCH(236,Itens!$M$2:$M$501,0))),"")</f>
        <v/>
      </c>
      <c r="C248" s="17">
        <f>IFERROR(IF(INDEX(Itens!$E$2:$E$501,MATCH(236,Itens!$M$2:$M$501,0))="","",INDEX(Itens!$E$2:$E$501,MATCH(236,Itens!$M$2:$M$501,0))),"")</f>
        <v/>
      </c>
      <c r="D248" s="17">
        <f>IFERROR(IF(INDEX(Itens!$F$2:$F$501,MATCH(236,Itens!$M$2:$M$501,0))="","",INDEX(Itens!$F$2:$F$501,MATCH(236,Itens!$M$2:$M$501,0))),"")</f>
        <v/>
      </c>
      <c r="E248" s="17">
        <f>IFERROR(IF(INDEX(Itens!$G$2:$G$501,MATCH(236,Itens!$M$2:$M$501,0))="","",INDEX(Itens!$G$2:$G$501,MATCH(236,Itens!$M$2:$M$501,0))),"")</f>
        <v/>
      </c>
      <c r="F248" s="17">
        <f>IFERROR(IF(INDEX(Itens!$I$2:$I$501,MATCH(236,Itens!$M$2:$M$501,0))="","",INDEX(Itens!$I$2:$I$501,MATCH(236,Itens!$M$2:$M$501,0))),"")</f>
        <v/>
      </c>
      <c r="G248" s="17">
        <f>IFERROR(IF(INDEX(Itens!$J$2:$J$501,MATCH(236,Itens!$M$2:$M$501,0))="","",INDEX(Itens!$J$2:$J$501,MATCH(236,Itens!$M$2:$M$501,0))),"")</f>
        <v/>
      </c>
      <c r="H248" s="18">
        <f>IFERROR(IF(INDEX(Itens!$K$2:$K$501,MATCH(236,Itens!$M$2:$M$501,0))="","",INDEX(Itens!$K$2:$K$501,MATCH(236,Itens!$M$2:$M$501,0))),"")</f>
        <v/>
      </c>
      <c r="I248" s="17">
        <f>IFERROR(IF(INDEX(Itens!$L$2:$L$501,MATCH(236,Itens!$M$2:$M$501,0))="","",INDEX(Itens!$L$2:$L$501,MATCH(236,Itens!$M$2:$M$501,0))),"")</f>
        <v/>
      </c>
    </row>
    <row r="249">
      <c r="A249" s="17">
        <f>IFERROR(IF(INDEX(Itens!$A$2:$A$501,MATCH(237,Itens!$M$2:$M$501,0))="","",INDEX(Itens!$A$2:$A$501,MATCH(237,Itens!$M$2:$M$501,0))),"")</f>
        <v/>
      </c>
      <c r="B249" s="17">
        <f>IFERROR(IF(INDEX(Itens!$C$2:$C$501,MATCH(237,Itens!$M$2:$M$501,0))="","",INDEX(Itens!$C$2:$C$501,MATCH(237,Itens!$M$2:$M$501,0))),"")</f>
        <v/>
      </c>
      <c r="C249" s="17">
        <f>IFERROR(IF(INDEX(Itens!$E$2:$E$501,MATCH(237,Itens!$M$2:$M$501,0))="","",INDEX(Itens!$E$2:$E$501,MATCH(237,Itens!$M$2:$M$501,0))),"")</f>
        <v/>
      </c>
      <c r="D249" s="17">
        <f>IFERROR(IF(INDEX(Itens!$F$2:$F$501,MATCH(237,Itens!$M$2:$M$501,0))="","",INDEX(Itens!$F$2:$F$501,MATCH(237,Itens!$M$2:$M$501,0))),"")</f>
        <v/>
      </c>
      <c r="E249" s="17">
        <f>IFERROR(IF(INDEX(Itens!$G$2:$G$501,MATCH(237,Itens!$M$2:$M$501,0))="","",INDEX(Itens!$G$2:$G$501,MATCH(237,Itens!$M$2:$M$501,0))),"")</f>
        <v/>
      </c>
      <c r="F249" s="17">
        <f>IFERROR(IF(INDEX(Itens!$I$2:$I$501,MATCH(237,Itens!$M$2:$M$501,0))="","",INDEX(Itens!$I$2:$I$501,MATCH(237,Itens!$M$2:$M$501,0))),"")</f>
        <v/>
      </c>
      <c r="G249" s="17">
        <f>IFERROR(IF(INDEX(Itens!$J$2:$J$501,MATCH(237,Itens!$M$2:$M$501,0))="","",INDEX(Itens!$J$2:$J$501,MATCH(237,Itens!$M$2:$M$501,0))),"")</f>
        <v/>
      </c>
      <c r="H249" s="18">
        <f>IFERROR(IF(INDEX(Itens!$K$2:$K$501,MATCH(237,Itens!$M$2:$M$501,0))="","",INDEX(Itens!$K$2:$K$501,MATCH(237,Itens!$M$2:$M$501,0))),"")</f>
        <v/>
      </c>
      <c r="I249" s="17">
        <f>IFERROR(IF(INDEX(Itens!$L$2:$L$501,MATCH(237,Itens!$M$2:$M$501,0))="","",INDEX(Itens!$L$2:$L$501,MATCH(237,Itens!$M$2:$M$501,0))),"")</f>
        <v/>
      </c>
    </row>
    <row r="250">
      <c r="A250" s="17">
        <f>IFERROR(IF(INDEX(Itens!$A$2:$A$501,MATCH(238,Itens!$M$2:$M$501,0))="","",INDEX(Itens!$A$2:$A$501,MATCH(238,Itens!$M$2:$M$501,0))),"")</f>
        <v/>
      </c>
      <c r="B250" s="17">
        <f>IFERROR(IF(INDEX(Itens!$C$2:$C$501,MATCH(238,Itens!$M$2:$M$501,0))="","",INDEX(Itens!$C$2:$C$501,MATCH(238,Itens!$M$2:$M$501,0))),"")</f>
        <v/>
      </c>
      <c r="C250" s="17">
        <f>IFERROR(IF(INDEX(Itens!$E$2:$E$501,MATCH(238,Itens!$M$2:$M$501,0))="","",INDEX(Itens!$E$2:$E$501,MATCH(238,Itens!$M$2:$M$501,0))),"")</f>
        <v/>
      </c>
      <c r="D250" s="17">
        <f>IFERROR(IF(INDEX(Itens!$F$2:$F$501,MATCH(238,Itens!$M$2:$M$501,0))="","",INDEX(Itens!$F$2:$F$501,MATCH(238,Itens!$M$2:$M$501,0))),"")</f>
        <v/>
      </c>
      <c r="E250" s="17">
        <f>IFERROR(IF(INDEX(Itens!$G$2:$G$501,MATCH(238,Itens!$M$2:$M$501,0))="","",INDEX(Itens!$G$2:$G$501,MATCH(238,Itens!$M$2:$M$501,0))),"")</f>
        <v/>
      </c>
      <c r="F250" s="17">
        <f>IFERROR(IF(INDEX(Itens!$I$2:$I$501,MATCH(238,Itens!$M$2:$M$501,0))="","",INDEX(Itens!$I$2:$I$501,MATCH(238,Itens!$M$2:$M$501,0))),"")</f>
        <v/>
      </c>
      <c r="G250" s="17">
        <f>IFERROR(IF(INDEX(Itens!$J$2:$J$501,MATCH(238,Itens!$M$2:$M$501,0))="","",INDEX(Itens!$J$2:$J$501,MATCH(238,Itens!$M$2:$M$501,0))),"")</f>
        <v/>
      </c>
      <c r="H250" s="18">
        <f>IFERROR(IF(INDEX(Itens!$K$2:$K$501,MATCH(238,Itens!$M$2:$M$501,0))="","",INDEX(Itens!$K$2:$K$501,MATCH(238,Itens!$M$2:$M$501,0))),"")</f>
        <v/>
      </c>
      <c r="I250" s="17">
        <f>IFERROR(IF(INDEX(Itens!$L$2:$L$501,MATCH(238,Itens!$M$2:$M$501,0))="","",INDEX(Itens!$L$2:$L$501,MATCH(238,Itens!$M$2:$M$501,0))),"")</f>
        <v/>
      </c>
    </row>
    <row r="251">
      <c r="A251" s="17">
        <f>IFERROR(IF(INDEX(Itens!$A$2:$A$501,MATCH(239,Itens!$M$2:$M$501,0))="","",INDEX(Itens!$A$2:$A$501,MATCH(239,Itens!$M$2:$M$501,0))),"")</f>
        <v/>
      </c>
      <c r="B251" s="17">
        <f>IFERROR(IF(INDEX(Itens!$C$2:$C$501,MATCH(239,Itens!$M$2:$M$501,0))="","",INDEX(Itens!$C$2:$C$501,MATCH(239,Itens!$M$2:$M$501,0))),"")</f>
        <v/>
      </c>
      <c r="C251" s="17">
        <f>IFERROR(IF(INDEX(Itens!$E$2:$E$501,MATCH(239,Itens!$M$2:$M$501,0))="","",INDEX(Itens!$E$2:$E$501,MATCH(239,Itens!$M$2:$M$501,0))),"")</f>
        <v/>
      </c>
      <c r="D251" s="17">
        <f>IFERROR(IF(INDEX(Itens!$F$2:$F$501,MATCH(239,Itens!$M$2:$M$501,0))="","",INDEX(Itens!$F$2:$F$501,MATCH(239,Itens!$M$2:$M$501,0))),"")</f>
        <v/>
      </c>
      <c r="E251" s="17">
        <f>IFERROR(IF(INDEX(Itens!$G$2:$G$501,MATCH(239,Itens!$M$2:$M$501,0))="","",INDEX(Itens!$G$2:$G$501,MATCH(239,Itens!$M$2:$M$501,0))),"")</f>
        <v/>
      </c>
      <c r="F251" s="17">
        <f>IFERROR(IF(INDEX(Itens!$I$2:$I$501,MATCH(239,Itens!$M$2:$M$501,0))="","",INDEX(Itens!$I$2:$I$501,MATCH(239,Itens!$M$2:$M$501,0))),"")</f>
        <v/>
      </c>
      <c r="G251" s="17">
        <f>IFERROR(IF(INDEX(Itens!$J$2:$J$501,MATCH(239,Itens!$M$2:$M$501,0))="","",INDEX(Itens!$J$2:$J$501,MATCH(239,Itens!$M$2:$M$501,0))),"")</f>
        <v/>
      </c>
      <c r="H251" s="18">
        <f>IFERROR(IF(INDEX(Itens!$K$2:$K$501,MATCH(239,Itens!$M$2:$M$501,0))="","",INDEX(Itens!$K$2:$K$501,MATCH(239,Itens!$M$2:$M$501,0))),"")</f>
        <v/>
      </c>
      <c r="I251" s="17">
        <f>IFERROR(IF(INDEX(Itens!$L$2:$L$501,MATCH(239,Itens!$M$2:$M$501,0))="","",INDEX(Itens!$L$2:$L$501,MATCH(239,Itens!$M$2:$M$501,0))),"")</f>
        <v/>
      </c>
    </row>
    <row r="252">
      <c r="A252" s="17">
        <f>IFERROR(IF(INDEX(Itens!$A$2:$A$501,MATCH(240,Itens!$M$2:$M$501,0))="","",INDEX(Itens!$A$2:$A$501,MATCH(240,Itens!$M$2:$M$501,0))),"")</f>
        <v/>
      </c>
      <c r="B252" s="17">
        <f>IFERROR(IF(INDEX(Itens!$C$2:$C$501,MATCH(240,Itens!$M$2:$M$501,0))="","",INDEX(Itens!$C$2:$C$501,MATCH(240,Itens!$M$2:$M$501,0))),"")</f>
        <v/>
      </c>
      <c r="C252" s="17">
        <f>IFERROR(IF(INDEX(Itens!$E$2:$E$501,MATCH(240,Itens!$M$2:$M$501,0))="","",INDEX(Itens!$E$2:$E$501,MATCH(240,Itens!$M$2:$M$501,0))),"")</f>
        <v/>
      </c>
      <c r="D252" s="17">
        <f>IFERROR(IF(INDEX(Itens!$F$2:$F$501,MATCH(240,Itens!$M$2:$M$501,0))="","",INDEX(Itens!$F$2:$F$501,MATCH(240,Itens!$M$2:$M$501,0))),"")</f>
        <v/>
      </c>
      <c r="E252" s="17">
        <f>IFERROR(IF(INDEX(Itens!$G$2:$G$501,MATCH(240,Itens!$M$2:$M$501,0))="","",INDEX(Itens!$G$2:$G$501,MATCH(240,Itens!$M$2:$M$501,0))),"")</f>
        <v/>
      </c>
      <c r="F252" s="17">
        <f>IFERROR(IF(INDEX(Itens!$I$2:$I$501,MATCH(240,Itens!$M$2:$M$501,0))="","",INDEX(Itens!$I$2:$I$501,MATCH(240,Itens!$M$2:$M$501,0))),"")</f>
        <v/>
      </c>
      <c r="G252" s="17">
        <f>IFERROR(IF(INDEX(Itens!$J$2:$J$501,MATCH(240,Itens!$M$2:$M$501,0))="","",INDEX(Itens!$J$2:$J$501,MATCH(240,Itens!$M$2:$M$501,0))),"")</f>
        <v/>
      </c>
      <c r="H252" s="18">
        <f>IFERROR(IF(INDEX(Itens!$K$2:$K$501,MATCH(240,Itens!$M$2:$M$501,0))="","",INDEX(Itens!$K$2:$K$501,MATCH(240,Itens!$M$2:$M$501,0))),"")</f>
        <v/>
      </c>
      <c r="I252" s="17">
        <f>IFERROR(IF(INDEX(Itens!$L$2:$L$501,MATCH(240,Itens!$M$2:$M$501,0))="","",INDEX(Itens!$L$2:$L$501,MATCH(240,Itens!$M$2:$M$501,0))),"")</f>
        <v/>
      </c>
    </row>
    <row r="253">
      <c r="A253" s="17">
        <f>IFERROR(IF(INDEX(Itens!$A$2:$A$501,MATCH(241,Itens!$M$2:$M$501,0))="","",INDEX(Itens!$A$2:$A$501,MATCH(241,Itens!$M$2:$M$501,0))),"")</f>
        <v/>
      </c>
      <c r="B253" s="17">
        <f>IFERROR(IF(INDEX(Itens!$C$2:$C$501,MATCH(241,Itens!$M$2:$M$501,0))="","",INDEX(Itens!$C$2:$C$501,MATCH(241,Itens!$M$2:$M$501,0))),"")</f>
        <v/>
      </c>
      <c r="C253" s="17">
        <f>IFERROR(IF(INDEX(Itens!$E$2:$E$501,MATCH(241,Itens!$M$2:$M$501,0))="","",INDEX(Itens!$E$2:$E$501,MATCH(241,Itens!$M$2:$M$501,0))),"")</f>
        <v/>
      </c>
      <c r="D253" s="17">
        <f>IFERROR(IF(INDEX(Itens!$F$2:$F$501,MATCH(241,Itens!$M$2:$M$501,0))="","",INDEX(Itens!$F$2:$F$501,MATCH(241,Itens!$M$2:$M$501,0))),"")</f>
        <v/>
      </c>
      <c r="E253" s="17">
        <f>IFERROR(IF(INDEX(Itens!$G$2:$G$501,MATCH(241,Itens!$M$2:$M$501,0))="","",INDEX(Itens!$G$2:$G$501,MATCH(241,Itens!$M$2:$M$501,0))),"")</f>
        <v/>
      </c>
      <c r="F253" s="17">
        <f>IFERROR(IF(INDEX(Itens!$I$2:$I$501,MATCH(241,Itens!$M$2:$M$501,0))="","",INDEX(Itens!$I$2:$I$501,MATCH(241,Itens!$M$2:$M$501,0))),"")</f>
        <v/>
      </c>
      <c r="G253" s="17">
        <f>IFERROR(IF(INDEX(Itens!$J$2:$J$501,MATCH(241,Itens!$M$2:$M$501,0))="","",INDEX(Itens!$J$2:$J$501,MATCH(241,Itens!$M$2:$M$501,0))),"")</f>
        <v/>
      </c>
      <c r="H253" s="18">
        <f>IFERROR(IF(INDEX(Itens!$K$2:$K$501,MATCH(241,Itens!$M$2:$M$501,0))="","",INDEX(Itens!$K$2:$K$501,MATCH(241,Itens!$M$2:$M$501,0))),"")</f>
        <v/>
      </c>
      <c r="I253" s="17">
        <f>IFERROR(IF(INDEX(Itens!$L$2:$L$501,MATCH(241,Itens!$M$2:$M$501,0))="","",INDEX(Itens!$L$2:$L$501,MATCH(241,Itens!$M$2:$M$501,0))),"")</f>
        <v/>
      </c>
    </row>
    <row r="254">
      <c r="A254" s="17">
        <f>IFERROR(IF(INDEX(Itens!$A$2:$A$501,MATCH(242,Itens!$M$2:$M$501,0))="","",INDEX(Itens!$A$2:$A$501,MATCH(242,Itens!$M$2:$M$501,0))),"")</f>
        <v/>
      </c>
      <c r="B254" s="17">
        <f>IFERROR(IF(INDEX(Itens!$C$2:$C$501,MATCH(242,Itens!$M$2:$M$501,0))="","",INDEX(Itens!$C$2:$C$501,MATCH(242,Itens!$M$2:$M$501,0))),"")</f>
        <v/>
      </c>
      <c r="C254" s="17">
        <f>IFERROR(IF(INDEX(Itens!$E$2:$E$501,MATCH(242,Itens!$M$2:$M$501,0))="","",INDEX(Itens!$E$2:$E$501,MATCH(242,Itens!$M$2:$M$501,0))),"")</f>
        <v/>
      </c>
      <c r="D254" s="17">
        <f>IFERROR(IF(INDEX(Itens!$F$2:$F$501,MATCH(242,Itens!$M$2:$M$501,0))="","",INDEX(Itens!$F$2:$F$501,MATCH(242,Itens!$M$2:$M$501,0))),"")</f>
        <v/>
      </c>
      <c r="E254" s="17">
        <f>IFERROR(IF(INDEX(Itens!$G$2:$G$501,MATCH(242,Itens!$M$2:$M$501,0))="","",INDEX(Itens!$G$2:$G$501,MATCH(242,Itens!$M$2:$M$501,0))),"")</f>
        <v/>
      </c>
      <c r="F254" s="17">
        <f>IFERROR(IF(INDEX(Itens!$I$2:$I$501,MATCH(242,Itens!$M$2:$M$501,0))="","",INDEX(Itens!$I$2:$I$501,MATCH(242,Itens!$M$2:$M$501,0))),"")</f>
        <v/>
      </c>
      <c r="G254" s="17">
        <f>IFERROR(IF(INDEX(Itens!$J$2:$J$501,MATCH(242,Itens!$M$2:$M$501,0))="","",INDEX(Itens!$J$2:$J$501,MATCH(242,Itens!$M$2:$M$501,0))),"")</f>
        <v/>
      </c>
      <c r="H254" s="18">
        <f>IFERROR(IF(INDEX(Itens!$K$2:$K$501,MATCH(242,Itens!$M$2:$M$501,0))="","",INDEX(Itens!$K$2:$K$501,MATCH(242,Itens!$M$2:$M$501,0))),"")</f>
        <v/>
      </c>
      <c r="I254" s="17">
        <f>IFERROR(IF(INDEX(Itens!$L$2:$L$501,MATCH(242,Itens!$M$2:$M$501,0))="","",INDEX(Itens!$L$2:$L$501,MATCH(242,Itens!$M$2:$M$501,0))),"")</f>
        <v/>
      </c>
    </row>
    <row r="255">
      <c r="A255" s="17">
        <f>IFERROR(IF(INDEX(Itens!$A$2:$A$501,MATCH(243,Itens!$M$2:$M$501,0))="","",INDEX(Itens!$A$2:$A$501,MATCH(243,Itens!$M$2:$M$501,0))),"")</f>
        <v/>
      </c>
      <c r="B255" s="17">
        <f>IFERROR(IF(INDEX(Itens!$C$2:$C$501,MATCH(243,Itens!$M$2:$M$501,0))="","",INDEX(Itens!$C$2:$C$501,MATCH(243,Itens!$M$2:$M$501,0))),"")</f>
        <v/>
      </c>
      <c r="C255" s="17">
        <f>IFERROR(IF(INDEX(Itens!$E$2:$E$501,MATCH(243,Itens!$M$2:$M$501,0))="","",INDEX(Itens!$E$2:$E$501,MATCH(243,Itens!$M$2:$M$501,0))),"")</f>
        <v/>
      </c>
      <c r="D255" s="17">
        <f>IFERROR(IF(INDEX(Itens!$F$2:$F$501,MATCH(243,Itens!$M$2:$M$501,0))="","",INDEX(Itens!$F$2:$F$501,MATCH(243,Itens!$M$2:$M$501,0))),"")</f>
        <v/>
      </c>
      <c r="E255" s="17">
        <f>IFERROR(IF(INDEX(Itens!$G$2:$G$501,MATCH(243,Itens!$M$2:$M$501,0))="","",INDEX(Itens!$G$2:$G$501,MATCH(243,Itens!$M$2:$M$501,0))),"")</f>
        <v/>
      </c>
      <c r="F255" s="17">
        <f>IFERROR(IF(INDEX(Itens!$I$2:$I$501,MATCH(243,Itens!$M$2:$M$501,0))="","",INDEX(Itens!$I$2:$I$501,MATCH(243,Itens!$M$2:$M$501,0))),"")</f>
        <v/>
      </c>
      <c r="G255" s="17">
        <f>IFERROR(IF(INDEX(Itens!$J$2:$J$501,MATCH(243,Itens!$M$2:$M$501,0))="","",INDEX(Itens!$J$2:$J$501,MATCH(243,Itens!$M$2:$M$501,0))),"")</f>
        <v/>
      </c>
      <c r="H255" s="18">
        <f>IFERROR(IF(INDEX(Itens!$K$2:$K$501,MATCH(243,Itens!$M$2:$M$501,0))="","",INDEX(Itens!$K$2:$K$501,MATCH(243,Itens!$M$2:$M$501,0))),"")</f>
        <v/>
      </c>
      <c r="I255" s="17">
        <f>IFERROR(IF(INDEX(Itens!$L$2:$L$501,MATCH(243,Itens!$M$2:$M$501,0))="","",INDEX(Itens!$L$2:$L$501,MATCH(243,Itens!$M$2:$M$501,0))),"")</f>
        <v/>
      </c>
    </row>
    <row r="256">
      <c r="A256" s="17">
        <f>IFERROR(IF(INDEX(Itens!$A$2:$A$501,MATCH(244,Itens!$M$2:$M$501,0))="","",INDEX(Itens!$A$2:$A$501,MATCH(244,Itens!$M$2:$M$501,0))),"")</f>
        <v/>
      </c>
      <c r="B256" s="17">
        <f>IFERROR(IF(INDEX(Itens!$C$2:$C$501,MATCH(244,Itens!$M$2:$M$501,0))="","",INDEX(Itens!$C$2:$C$501,MATCH(244,Itens!$M$2:$M$501,0))),"")</f>
        <v/>
      </c>
      <c r="C256" s="17">
        <f>IFERROR(IF(INDEX(Itens!$E$2:$E$501,MATCH(244,Itens!$M$2:$M$501,0))="","",INDEX(Itens!$E$2:$E$501,MATCH(244,Itens!$M$2:$M$501,0))),"")</f>
        <v/>
      </c>
      <c r="D256" s="17">
        <f>IFERROR(IF(INDEX(Itens!$F$2:$F$501,MATCH(244,Itens!$M$2:$M$501,0))="","",INDEX(Itens!$F$2:$F$501,MATCH(244,Itens!$M$2:$M$501,0))),"")</f>
        <v/>
      </c>
      <c r="E256" s="17">
        <f>IFERROR(IF(INDEX(Itens!$G$2:$G$501,MATCH(244,Itens!$M$2:$M$501,0))="","",INDEX(Itens!$G$2:$G$501,MATCH(244,Itens!$M$2:$M$501,0))),"")</f>
        <v/>
      </c>
      <c r="F256" s="17">
        <f>IFERROR(IF(INDEX(Itens!$I$2:$I$501,MATCH(244,Itens!$M$2:$M$501,0))="","",INDEX(Itens!$I$2:$I$501,MATCH(244,Itens!$M$2:$M$501,0))),"")</f>
        <v/>
      </c>
      <c r="G256" s="17">
        <f>IFERROR(IF(INDEX(Itens!$J$2:$J$501,MATCH(244,Itens!$M$2:$M$501,0))="","",INDEX(Itens!$J$2:$J$501,MATCH(244,Itens!$M$2:$M$501,0))),"")</f>
        <v/>
      </c>
      <c r="H256" s="18">
        <f>IFERROR(IF(INDEX(Itens!$K$2:$K$501,MATCH(244,Itens!$M$2:$M$501,0))="","",INDEX(Itens!$K$2:$K$501,MATCH(244,Itens!$M$2:$M$501,0))),"")</f>
        <v/>
      </c>
      <c r="I256" s="17">
        <f>IFERROR(IF(INDEX(Itens!$L$2:$L$501,MATCH(244,Itens!$M$2:$M$501,0))="","",INDEX(Itens!$L$2:$L$501,MATCH(244,Itens!$M$2:$M$501,0))),"")</f>
        <v/>
      </c>
    </row>
    <row r="257">
      <c r="A257" s="17">
        <f>IFERROR(IF(INDEX(Itens!$A$2:$A$501,MATCH(245,Itens!$M$2:$M$501,0))="","",INDEX(Itens!$A$2:$A$501,MATCH(245,Itens!$M$2:$M$501,0))),"")</f>
        <v/>
      </c>
      <c r="B257" s="17">
        <f>IFERROR(IF(INDEX(Itens!$C$2:$C$501,MATCH(245,Itens!$M$2:$M$501,0))="","",INDEX(Itens!$C$2:$C$501,MATCH(245,Itens!$M$2:$M$501,0))),"")</f>
        <v/>
      </c>
      <c r="C257" s="17">
        <f>IFERROR(IF(INDEX(Itens!$E$2:$E$501,MATCH(245,Itens!$M$2:$M$501,0))="","",INDEX(Itens!$E$2:$E$501,MATCH(245,Itens!$M$2:$M$501,0))),"")</f>
        <v/>
      </c>
      <c r="D257" s="17">
        <f>IFERROR(IF(INDEX(Itens!$F$2:$F$501,MATCH(245,Itens!$M$2:$M$501,0))="","",INDEX(Itens!$F$2:$F$501,MATCH(245,Itens!$M$2:$M$501,0))),"")</f>
        <v/>
      </c>
      <c r="E257" s="17">
        <f>IFERROR(IF(INDEX(Itens!$G$2:$G$501,MATCH(245,Itens!$M$2:$M$501,0))="","",INDEX(Itens!$G$2:$G$501,MATCH(245,Itens!$M$2:$M$501,0))),"")</f>
        <v/>
      </c>
      <c r="F257" s="17">
        <f>IFERROR(IF(INDEX(Itens!$I$2:$I$501,MATCH(245,Itens!$M$2:$M$501,0))="","",INDEX(Itens!$I$2:$I$501,MATCH(245,Itens!$M$2:$M$501,0))),"")</f>
        <v/>
      </c>
      <c r="G257" s="17">
        <f>IFERROR(IF(INDEX(Itens!$J$2:$J$501,MATCH(245,Itens!$M$2:$M$501,0))="","",INDEX(Itens!$J$2:$J$501,MATCH(245,Itens!$M$2:$M$501,0))),"")</f>
        <v/>
      </c>
      <c r="H257" s="18">
        <f>IFERROR(IF(INDEX(Itens!$K$2:$K$501,MATCH(245,Itens!$M$2:$M$501,0))="","",INDEX(Itens!$K$2:$K$501,MATCH(245,Itens!$M$2:$M$501,0))),"")</f>
        <v/>
      </c>
      <c r="I257" s="17">
        <f>IFERROR(IF(INDEX(Itens!$L$2:$L$501,MATCH(245,Itens!$M$2:$M$501,0))="","",INDEX(Itens!$L$2:$L$501,MATCH(245,Itens!$M$2:$M$501,0))),"")</f>
        <v/>
      </c>
    </row>
    <row r="258">
      <c r="A258" s="17">
        <f>IFERROR(IF(INDEX(Itens!$A$2:$A$501,MATCH(246,Itens!$M$2:$M$501,0))="","",INDEX(Itens!$A$2:$A$501,MATCH(246,Itens!$M$2:$M$501,0))),"")</f>
        <v/>
      </c>
      <c r="B258" s="17">
        <f>IFERROR(IF(INDEX(Itens!$C$2:$C$501,MATCH(246,Itens!$M$2:$M$501,0))="","",INDEX(Itens!$C$2:$C$501,MATCH(246,Itens!$M$2:$M$501,0))),"")</f>
        <v/>
      </c>
      <c r="C258" s="17">
        <f>IFERROR(IF(INDEX(Itens!$E$2:$E$501,MATCH(246,Itens!$M$2:$M$501,0))="","",INDEX(Itens!$E$2:$E$501,MATCH(246,Itens!$M$2:$M$501,0))),"")</f>
        <v/>
      </c>
      <c r="D258" s="17">
        <f>IFERROR(IF(INDEX(Itens!$F$2:$F$501,MATCH(246,Itens!$M$2:$M$501,0))="","",INDEX(Itens!$F$2:$F$501,MATCH(246,Itens!$M$2:$M$501,0))),"")</f>
        <v/>
      </c>
      <c r="E258" s="17">
        <f>IFERROR(IF(INDEX(Itens!$G$2:$G$501,MATCH(246,Itens!$M$2:$M$501,0))="","",INDEX(Itens!$G$2:$G$501,MATCH(246,Itens!$M$2:$M$501,0))),"")</f>
        <v/>
      </c>
      <c r="F258" s="17">
        <f>IFERROR(IF(INDEX(Itens!$I$2:$I$501,MATCH(246,Itens!$M$2:$M$501,0))="","",INDEX(Itens!$I$2:$I$501,MATCH(246,Itens!$M$2:$M$501,0))),"")</f>
        <v/>
      </c>
      <c r="G258" s="17">
        <f>IFERROR(IF(INDEX(Itens!$J$2:$J$501,MATCH(246,Itens!$M$2:$M$501,0))="","",INDEX(Itens!$J$2:$J$501,MATCH(246,Itens!$M$2:$M$501,0))),"")</f>
        <v/>
      </c>
      <c r="H258" s="18">
        <f>IFERROR(IF(INDEX(Itens!$K$2:$K$501,MATCH(246,Itens!$M$2:$M$501,0))="","",INDEX(Itens!$K$2:$K$501,MATCH(246,Itens!$M$2:$M$501,0))),"")</f>
        <v/>
      </c>
      <c r="I258" s="17">
        <f>IFERROR(IF(INDEX(Itens!$L$2:$L$501,MATCH(246,Itens!$M$2:$M$501,0))="","",INDEX(Itens!$L$2:$L$501,MATCH(246,Itens!$M$2:$M$501,0))),"")</f>
        <v/>
      </c>
    </row>
    <row r="259">
      <c r="A259" s="17">
        <f>IFERROR(IF(INDEX(Itens!$A$2:$A$501,MATCH(247,Itens!$M$2:$M$501,0))="","",INDEX(Itens!$A$2:$A$501,MATCH(247,Itens!$M$2:$M$501,0))),"")</f>
        <v/>
      </c>
      <c r="B259" s="17">
        <f>IFERROR(IF(INDEX(Itens!$C$2:$C$501,MATCH(247,Itens!$M$2:$M$501,0))="","",INDEX(Itens!$C$2:$C$501,MATCH(247,Itens!$M$2:$M$501,0))),"")</f>
        <v/>
      </c>
      <c r="C259" s="17">
        <f>IFERROR(IF(INDEX(Itens!$E$2:$E$501,MATCH(247,Itens!$M$2:$M$501,0))="","",INDEX(Itens!$E$2:$E$501,MATCH(247,Itens!$M$2:$M$501,0))),"")</f>
        <v/>
      </c>
      <c r="D259" s="17">
        <f>IFERROR(IF(INDEX(Itens!$F$2:$F$501,MATCH(247,Itens!$M$2:$M$501,0))="","",INDEX(Itens!$F$2:$F$501,MATCH(247,Itens!$M$2:$M$501,0))),"")</f>
        <v/>
      </c>
      <c r="E259" s="17">
        <f>IFERROR(IF(INDEX(Itens!$G$2:$G$501,MATCH(247,Itens!$M$2:$M$501,0))="","",INDEX(Itens!$G$2:$G$501,MATCH(247,Itens!$M$2:$M$501,0))),"")</f>
        <v/>
      </c>
      <c r="F259" s="17">
        <f>IFERROR(IF(INDEX(Itens!$I$2:$I$501,MATCH(247,Itens!$M$2:$M$501,0))="","",INDEX(Itens!$I$2:$I$501,MATCH(247,Itens!$M$2:$M$501,0))),"")</f>
        <v/>
      </c>
      <c r="G259" s="17">
        <f>IFERROR(IF(INDEX(Itens!$J$2:$J$501,MATCH(247,Itens!$M$2:$M$501,0))="","",INDEX(Itens!$J$2:$J$501,MATCH(247,Itens!$M$2:$M$501,0))),"")</f>
        <v/>
      </c>
      <c r="H259" s="18">
        <f>IFERROR(IF(INDEX(Itens!$K$2:$K$501,MATCH(247,Itens!$M$2:$M$501,0))="","",INDEX(Itens!$K$2:$K$501,MATCH(247,Itens!$M$2:$M$501,0))),"")</f>
        <v/>
      </c>
      <c r="I259" s="17">
        <f>IFERROR(IF(INDEX(Itens!$L$2:$L$501,MATCH(247,Itens!$M$2:$M$501,0))="","",INDEX(Itens!$L$2:$L$501,MATCH(247,Itens!$M$2:$M$501,0))),"")</f>
        <v/>
      </c>
    </row>
    <row r="260">
      <c r="A260" s="17">
        <f>IFERROR(IF(INDEX(Itens!$A$2:$A$501,MATCH(248,Itens!$M$2:$M$501,0))="","",INDEX(Itens!$A$2:$A$501,MATCH(248,Itens!$M$2:$M$501,0))),"")</f>
        <v/>
      </c>
      <c r="B260" s="17">
        <f>IFERROR(IF(INDEX(Itens!$C$2:$C$501,MATCH(248,Itens!$M$2:$M$501,0))="","",INDEX(Itens!$C$2:$C$501,MATCH(248,Itens!$M$2:$M$501,0))),"")</f>
        <v/>
      </c>
      <c r="C260" s="17">
        <f>IFERROR(IF(INDEX(Itens!$E$2:$E$501,MATCH(248,Itens!$M$2:$M$501,0))="","",INDEX(Itens!$E$2:$E$501,MATCH(248,Itens!$M$2:$M$501,0))),"")</f>
        <v/>
      </c>
      <c r="D260" s="17">
        <f>IFERROR(IF(INDEX(Itens!$F$2:$F$501,MATCH(248,Itens!$M$2:$M$501,0))="","",INDEX(Itens!$F$2:$F$501,MATCH(248,Itens!$M$2:$M$501,0))),"")</f>
        <v/>
      </c>
      <c r="E260" s="17">
        <f>IFERROR(IF(INDEX(Itens!$G$2:$G$501,MATCH(248,Itens!$M$2:$M$501,0))="","",INDEX(Itens!$G$2:$G$501,MATCH(248,Itens!$M$2:$M$501,0))),"")</f>
        <v/>
      </c>
      <c r="F260" s="17">
        <f>IFERROR(IF(INDEX(Itens!$I$2:$I$501,MATCH(248,Itens!$M$2:$M$501,0))="","",INDEX(Itens!$I$2:$I$501,MATCH(248,Itens!$M$2:$M$501,0))),"")</f>
        <v/>
      </c>
      <c r="G260" s="17">
        <f>IFERROR(IF(INDEX(Itens!$J$2:$J$501,MATCH(248,Itens!$M$2:$M$501,0))="","",INDEX(Itens!$J$2:$J$501,MATCH(248,Itens!$M$2:$M$501,0))),"")</f>
        <v/>
      </c>
      <c r="H260" s="18">
        <f>IFERROR(IF(INDEX(Itens!$K$2:$K$501,MATCH(248,Itens!$M$2:$M$501,0))="","",INDEX(Itens!$K$2:$K$501,MATCH(248,Itens!$M$2:$M$501,0))),"")</f>
        <v/>
      </c>
      <c r="I260" s="17">
        <f>IFERROR(IF(INDEX(Itens!$L$2:$L$501,MATCH(248,Itens!$M$2:$M$501,0))="","",INDEX(Itens!$L$2:$L$501,MATCH(248,Itens!$M$2:$M$501,0))),"")</f>
        <v/>
      </c>
    </row>
    <row r="261">
      <c r="A261" s="17">
        <f>IFERROR(IF(INDEX(Itens!$A$2:$A$501,MATCH(249,Itens!$M$2:$M$501,0))="","",INDEX(Itens!$A$2:$A$501,MATCH(249,Itens!$M$2:$M$501,0))),"")</f>
        <v/>
      </c>
      <c r="B261" s="17">
        <f>IFERROR(IF(INDEX(Itens!$C$2:$C$501,MATCH(249,Itens!$M$2:$M$501,0))="","",INDEX(Itens!$C$2:$C$501,MATCH(249,Itens!$M$2:$M$501,0))),"")</f>
        <v/>
      </c>
      <c r="C261" s="17">
        <f>IFERROR(IF(INDEX(Itens!$E$2:$E$501,MATCH(249,Itens!$M$2:$M$501,0))="","",INDEX(Itens!$E$2:$E$501,MATCH(249,Itens!$M$2:$M$501,0))),"")</f>
        <v/>
      </c>
      <c r="D261" s="17">
        <f>IFERROR(IF(INDEX(Itens!$F$2:$F$501,MATCH(249,Itens!$M$2:$M$501,0))="","",INDEX(Itens!$F$2:$F$501,MATCH(249,Itens!$M$2:$M$501,0))),"")</f>
        <v/>
      </c>
      <c r="E261" s="17">
        <f>IFERROR(IF(INDEX(Itens!$G$2:$G$501,MATCH(249,Itens!$M$2:$M$501,0))="","",INDEX(Itens!$G$2:$G$501,MATCH(249,Itens!$M$2:$M$501,0))),"")</f>
        <v/>
      </c>
      <c r="F261" s="17">
        <f>IFERROR(IF(INDEX(Itens!$I$2:$I$501,MATCH(249,Itens!$M$2:$M$501,0))="","",INDEX(Itens!$I$2:$I$501,MATCH(249,Itens!$M$2:$M$501,0))),"")</f>
        <v/>
      </c>
      <c r="G261" s="17">
        <f>IFERROR(IF(INDEX(Itens!$J$2:$J$501,MATCH(249,Itens!$M$2:$M$501,0))="","",INDEX(Itens!$J$2:$J$501,MATCH(249,Itens!$M$2:$M$501,0))),"")</f>
        <v/>
      </c>
      <c r="H261" s="18">
        <f>IFERROR(IF(INDEX(Itens!$K$2:$K$501,MATCH(249,Itens!$M$2:$M$501,0))="","",INDEX(Itens!$K$2:$K$501,MATCH(249,Itens!$M$2:$M$501,0))),"")</f>
        <v/>
      </c>
      <c r="I261" s="17">
        <f>IFERROR(IF(INDEX(Itens!$L$2:$L$501,MATCH(249,Itens!$M$2:$M$501,0))="","",INDEX(Itens!$L$2:$L$501,MATCH(249,Itens!$M$2:$M$501,0))),"")</f>
        <v/>
      </c>
    </row>
    <row r="262">
      <c r="A262" s="17">
        <f>IFERROR(IF(INDEX(Itens!$A$2:$A$501,MATCH(250,Itens!$M$2:$M$501,0))="","",INDEX(Itens!$A$2:$A$501,MATCH(250,Itens!$M$2:$M$501,0))),"")</f>
        <v/>
      </c>
      <c r="B262" s="17">
        <f>IFERROR(IF(INDEX(Itens!$C$2:$C$501,MATCH(250,Itens!$M$2:$M$501,0))="","",INDEX(Itens!$C$2:$C$501,MATCH(250,Itens!$M$2:$M$501,0))),"")</f>
        <v/>
      </c>
      <c r="C262" s="17">
        <f>IFERROR(IF(INDEX(Itens!$E$2:$E$501,MATCH(250,Itens!$M$2:$M$501,0))="","",INDEX(Itens!$E$2:$E$501,MATCH(250,Itens!$M$2:$M$501,0))),"")</f>
        <v/>
      </c>
      <c r="D262" s="17">
        <f>IFERROR(IF(INDEX(Itens!$F$2:$F$501,MATCH(250,Itens!$M$2:$M$501,0))="","",INDEX(Itens!$F$2:$F$501,MATCH(250,Itens!$M$2:$M$501,0))),"")</f>
        <v/>
      </c>
      <c r="E262" s="17">
        <f>IFERROR(IF(INDEX(Itens!$G$2:$G$501,MATCH(250,Itens!$M$2:$M$501,0))="","",INDEX(Itens!$G$2:$G$501,MATCH(250,Itens!$M$2:$M$501,0))),"")</f>
        <v/>
      </c>
      <c r="F262" s="17">
        <f>IFERROR(IF(INDEX(Itens!$I$2:$I$501,MATCH(250,Itens!$M$2:$M$501,0))="","",INDEX(Itens!$I$2:$I$501,MATCH(250,Itens!$M$2:$M$501,0))),"")</f>
        <v/>
      </c>
      <c r="G262" s="17">
        <f>IFERROR(IF(INDEX(Itens!$J$2:$J$501,MATCH(250,Itens!$M$2:$M$501,0))="","",INDEX(Itens!$J$2:$J$501,MATCH(250,Itens!$M$2:$M$501,0))),"")</f>
        <v/>
      </c>
      <c r="H262" s="18">
        <f>IFERROR(IF(INDEX(Itens!$K$2:$K$501,MATCH(250,Itens!$M$2:$M$501,0))="","",INDEX(Itens!$K$2:$K$501,MATCH(250,Itens!$M$2:$M$501,0))),"")</f>
        <v/>
      </c>
      <c r="I262" s="17">
        <f>IFERROR(IF(INDEX(Itens!$L$2:$L$501,MATCH(250,Itens!$M$2:$M$501,0))="","",INDEX(Itens!$L$2:$L$501,MATCH(250,Itens!$M$2:$M$501,0))),"")</f>
        <v/>
      </c>
    </row>
    <row r="263">
      <c r="A263" s="17">
        <f>IFERROR(IF(INDEX(Itens!$A$2:$A$501,MATCH(251,Itens!$M$2:$M$501,0))="","",INDEX(Itens!$A$2:$A$501,MATCH(251,Itens!$M$2:$M$501,0))),"")</f>
        <v/>
      </c>
      <c r="B263" s="17">
        <f>IFERROR(IF(INDEX(Itens!$C$2:$C$501,MATCH(251,Itens!$M$2:$M$501,0))="","",INDEX(Itens!$C$2:$C$501,MATCH(251,Itens!$M$2:$M$501,0))),"")</f>
        <v/>
      </c>
      <c r="C263" s="17">
        <f>IFERROR(IF(INDEX(Itens!$E$2:$E$501,MATCH(251,Itens!$M$2:$M$501,0))="","",INDEX(Itens!$E$2:$E$501,MATCH(251,Itens!$M$2:$M$501,0))),"")</f>
        <v/>
      </c>
      <c r="D263" s="17">
        <f>IFERROR(IF(INDEX(Itens!$F$2:$F$501,MATCH(251,Itens!$M$2:$M$501,0))="","",INDEX(Itens!$F$2:$F$501,MATCH(251,Itens!$M$2:$M$501,0))),"")</f>
        <v/>
      </c>
      <c r="E263" s="17">
        <f>IFERROR(IF(INDEX(Itens!$G$2:$G$501,MATCH(251,Itens!$M$2:$M$501,0))="","",INDEX(Itens!$G$2:$G$501,MATCH(251,Itens!$M$2:$M$501,0))),"")</f>
        <v/>
      </c>
      <c r="F263" s="17">
        <f>IFERROR(IF(INDEX(Itens!$I$2:$I$501,MATCH(251,Itens!$M$2:$M$501,0))="","",INDEX(Itens!$I$2:$I$501,MATCH(251,Itens!$M$2:$M$501,0))),"")</f>
        <v/>
      </c>
      <c r="G263" s="17">
        <f>IFERROR(IF(INDEX(Itens!$J$2:$J$501,MATCH(251,Itens!$M$2:$M$501,0))="","",INDEX(Itens!$J$2:$J$501,MATCH(251,Itens!$M$2:$M$501,0))),"")</f>
        <v/>
      </c>
      <c r="H263" s="18">
        <f>IFERROR(IF(INDEX(Itens!$K$2:$K$501,MATCH(251,Itens!$M$2:$M$501,0))="","",INDEX(Itens!$K$2:$K$501,MATCH(251,Itens!$M$2:$M$501,0))),"")</f>
        <v/>
      </c>
      <c r="I263" s="17">
        <f>IFERROR(IF(INDEX(Itens!$L$2:$L$501,MATCH(251,Itens!$M$2:$M$501,0))="","",INDEX(Itens!$L$2:$L$501,MATCH(251,Itens!$M$2:$M$501,0))),"")</f>
        <v/>
      </c>
    </row>
    <row r="264">
      <c r="A264" s="17">
        <f>IFERROR(IF(INDEX(Itens!$A$2:$A$501,MATCH(252,Itens!$M$2:$M$501,0))="","",INDEX(Itens!$A$2:$A$501,MATCH(252,Itens!$M$2:$M$501,0))),"")</f>
        <v/>
      </c>
      <c r="B264" s="17">
        <f>IFERROR(IF(INDEX(Itens!$C$2:$C$501,MATCH(252,Itens!$M$2:$M$501,0))="","",INDEX(Itens!$C$2:$C$501,MATCH(252,Itens!$M$2:$M$501,0))),"")</f>
        <v/>
      </c>
      <c r="C264" s="17">
        <f>IFERROR(IF(INDEX(Itens!$E$2:$E$501,MATCH(252,Itens!$M$2:$M$501,0))="","",INDEX(Itens!$E$2:$E$501,MATCH(252,Itens!$M$2:$M$501,0))),"")</f>
        <v/>
      </c>
      <c r="D264" s="17">
        <f>IFERROR(IF(INDEX(Itens!$F$2:$F$501,MATCH(252,Itens!$M$2:$M$501,0))="","",INDEX(Itens!$F$2:$F$501,MATCH(252,Itens!$M$2:$M$501,0))),"")</f>
        <v/>
      </c>
      <c r="E264" s="17">
        <f>IFERROR(IF(INDEX(Itens!$G$2:$G$501,MATCH(252,Itens!$M$2:$M$501,0))="","",INDEX(Itens!$G$2:$G$501,MATCH(252,Itens!$M$2:$M$501,0))),"")</f>
        <v/>
      </c>
      <c r="F264" s="17">
        <f>IFERROR(IF(INDEX(Itens!$I$2:$I$501,MATCH(252,Itens!$M$2:$M$501,0))="","",INDEX(Itens!$I$2:$I$501,MATCH(252,Itens!$M$2:$M$501,0))),"")</f>
        <v/>
      </c>
      <c r="G264" s="17">
        <f>IFERROR(IF(INDEX(Itens!$J$2:$J$501,MATCH(252,Itens!$M$2:$M$501,0))="","",INDEX(Itens!$J$2:$J$501,MATCH(252,Itens!$M$2:$M$501,0))),"")</f>
        <v/>
      </c>
      <c r="H264" s="18">
        <f>IFERROR(IF(INDEX(Itens!$K$2:$K$501,MATCH(252,Itens!$M$2:$M$501,0))="","",INDEX(Itens!$K$2:$K$501,MATCH(252,Itens!$M$2:$M$501,0))),"")</f>
        <v/>
      </c>
      <c r="I264" s="17">
        <f>IFERROR(IF(INDEX(Itens!$L$2:$L$501,MATCH(252,Itens!$M$2:$M$501,0))="","",INDEX(Itens!$L$2:$L$501,MATCH(252,Itens!$M$2:$M$501,0))),"")</f>
        <v/>
      </c>
    </row>
    <row r="265">
      <c r="A265" s="17">
        <f>IFERROR(IF(INDEX(Itens!$A$2:$A$501,MATCH(253,Itens!$M$2:$M$501,0))="","",INDEX(Itens!$A$2:$A$501,MATCH(253,Itens!$M$2:$M$501,0))),"")</f>
        <v/>
      </c>
      <c r="B265" s="17">
        <f>IFERROR(IF(INDEX(Itens!$C$2:$C$501,MATCH(253,Itens!$M$2:$M$501,0))="","",INDEX(Itens!$C$2:$C$501,MATCH(253,Itens!$M$2:$M$501,0))),"")</f>
        <v/>
      </c>
      <c r="C265" s="17">
        <f>IFERROR(IF(INDEX(Itens!$E$2:$E$501,MATCH(253,Itens!$M$2:$M$501,0))="","",INDEX(Itens!$E$2:$E$501,MATCH(253,Itens!$M$2:$M$501,0))),"")</f>
        <v/>
      </c>
      <c r="D265" s="17">
        <f>IFERROR(IF(INDEX(Itens!$F$2:$F$501,MATCH(253,Itens!$M$2:$M$501,0))="","",INDEX(Itens!$F$2:$F$501,MATCH(253,Itens!$M$2:$M$501,0))),"")</f>
        <v/>
      </c>
      <c r="E265" s="17">
        <f>IFERROR(IF(INDEX(Itens!$G$2:$G$501,MATCH(253,Itens!$M$2:$M$501,0))="","",INDEX(Itens!$G$2:$G$501,MATCH(253,Itens!$M$2:$M$501,0))),"")</f>
        <v/>
      </c>
      <c r="F265" s="17">
        <f>IFERROR(IF(INDEX(Itens!$I$2:$I$501,MATCH(253,Itens!$M$2:$M$501,0))="","",INDEX(Itens!$I$2:$I$501,MATCH(253,Itens!$M$2:$M$501,0))),"")</f>
        <v/>
      </c>
      <c r="G265" s="17">
        <f>IFERROR(IF(INDEX(Itens!$J$2:$J$501,MATCH(253,Itens!$M$2:$M$501,0))="","",INDEX(Itens!$J$2:$J$501,MATCH(253,Itens!$M$2:$M$501,0))),"")</f>
        <v/>
      </c>
      <c r="H265" s="18">
        <f>IFERROR(IF(INDEX(Itens!$K$2:$K$501,MATCH(253,Itens!$M$2:$M$501,0))="","",INDEX(Itens!$K$2:$K$501,MATCH(253,Itens!$M$2:$M$501,0))),"")</f>
        <v/>
      </c>
      <c r="I265" s="17">
        <f>IFERROR(IF(INDEX(Itens!$L$2:$L$501,MATCH(253,Itens!$M$2:$M$501,0))="","",INDEX(Itens!$L$2:$L$501,MATCH(253,Itens!$M$2:$M$501,0))),"")</f>
        <v/>
      </c>
    </row>
    <row r="266">
      <c r="A266" s="17">
        <f>IFERROR(IF(INDEX(Itens!$A$2:$A$501,MATCH(254,Itens!$M$2:$M$501,0))="","",INDEX(Itens!$A$2:$A$501,MATCH(254,Itens!$M$2:$M$501,0))),"")</f>
        <v/>
      </c>
      <c r="B266" s="17">
        <f>IFERROR(IF(INDEX(Itens!$C$2:$C$501,MATCH(254,Itens!$M$2:$M$501,0))="","",INDEX(Itens!$C$2:$C$501,MATCH(254,Itens!$M$2:$M$501,0))),"")</f>
        <v/>
      </c>
      <c r="C266" s="17">
        <f>IFERROR(IF(INDEX(Itens!$E$2:$E$501,MATCH(254,Itens!$M$2:$M$501,0))="","",INDEX(Itens!$E$2:$E$501,MATCH(254,Itens!$M$2:$M$501,0))),"")</f>
        <v/>
      </c>
      <c r="D266" s="17">
        <f>IFERROR(IF(INDEX(Itens!$F$2:$F$501,MATCH(254,Itens!$M$2:$M$501,0))="","",INDEX(Itens!$F$2:$F$501,MATCH(254,Itens!$M$2:$M$501,0))),"")</f>
        <v/>
      </c>
      <c r="E266" s="17">
        <f>IFERROR(IF(INDEX(Itens!$G$2:$G$501,MATCH(254,Itens!$M$2:$M$501,0))="","",INDEX(Itens!$G$2:$G$501,MATCH(254,Itens!$M$2:$M$501,0))),"")</f>
        <v/>
      </c>
      <c r="F266" s="17">
        <f>IFERROR(IF(INDEX(Itens!$I$2:$I$501,MATCH(254,Itens!$M$2:$M$501,0))="","",INDEX(Itens!$I$2:$I$501,MATCH(254,Itens!$M$2:$M$501,0))),"")</f>
        <v/>
      </c>
      <c r="G266" s="17">
        <f>IFERROR(IF(INDEX(Itens!$J$2:$J$501,MATCH(254,Itens!$M$2:$M$501,0))="","",INDEX(Itens!$J$2:$J$501,MATCH(254,Itens!$M$2:$M$501,0))),"")</f>
        <v/>
      </c>
      <c r="H266" s="18">
        <f>IFERROR(IF(INDEX(Itens!$K$2:$K$501,MATCH(254,Itens!$M$2:$M$501,0))="","",INDEX(Itens!$K$2:$K$501,MATCH(254,Itens!$M$2:$M$501,0))),"")</f>
        <v/>
      </c>
      <c r="I266" s="17">
        <f>IFERROR(IF(INDEX(Itens!$L$2:$L$501,MATCH(254,Itens!$M$2:$M$501,0))="","",INDEX(Itens!$L$2:$L$501,MATCH(254,Itens!$M$2:$M$501,0))),"")</f>
        <v/>
      </c>
    </row>
    <row r="267">
      <c r="A267" s="17">
        <f>IFERROR(IF(INDEX(Itens!$A$2:$A$501,MATCH(255,Itens!$M$2:$M$501,0))="","",INDEX(Itens!$A$2:$A$501,MATCH(255,Itens!$M$2:$M$501,0))),"")</f>
        <v/>
      </c>
      <c r="B267" s="17">
        <f>IFERROR(IF(INDEX(Itens!$C$2:$C$501,MATCH(255,Itens!$M$2:$M$501,0))="","",INDEX(Itens!$C$2:$C$501,MATCH(255,Itens!$M$2:$M$501,0))),"")</f>
        <v/>
      </c>
      <c r="C267" s="17">
        <f>IFERROR(IF(INDEX(Itens!$E$2:$E$501,MATCH(255,Itens!$M$2:$M$501,0))="","",INDEX(Itens!$E$2:$E$501,MATCH(255,Itens!$M$2:$M$501,0))),"")</f>
        <v/>
      </c>
      <c r="D267" s="17">
        <f>IFERROR(IF(INDEX(Itens!$F$2:$F$501,MATCH(255,Itens!$M$2:$M$501,0))="","",INDEX(Itens!$F$2:$F$501,MATCH(255,Itens!$M$2:$M$501,0))),"")</f>
        <v/>
      </c>
      <c r="E267" s="17">
        <f>IFERROR(IF(INDEX(Itens!$G$2:$G$501,MATCH(255,Itens!$M$2:$M$501,0))="","",INDEX(Itens!$G$2:$G$501,MATCH(255,Itens!$M$2:$M$501,0))),"")</f>
        <v/>
      </c>
      <c r="F267" s="17">
        <f>IFERROR(IF(INDEX(Itens!$I$2:$I$501,MATCH(255,Itens!$M$2:$M$501,0))="","",INDEX(Itens!$I$2:$I$501,MATCH(255,Itens!$M$2:$M$501,0))),"")</f>
        <v/>
      </c>
      <c r="G267" s="17">
        <f>IFERROR(IF(INDEX(Itens!$J$2:$J$501,MATCH(255,Itens!$M$2:$M$501,0))="","",INDEX(Itens!$J$2:$J$501,MATCH(255,Itens!$M$2:$M$501,0))),"")</f>
        <v/>
      </c>
      <c r="H267" s="18">
        <f>IFERROR(IF(INDEX(Itens!$K$2:$K$501,MATCH(255,Itens!$M$2:$M$501,0))="","",INDEX(Itens!$K$2:$K$501,MATCH(255,Itens!$M$2:$M$501,0))),"")</f>
        <v/>
      </c>
      <c r="I267" s="17">
        <f>IFERROR(IF(INDEX(Itens!$L$2:$L$501,MATCH(255,Itens!$M$2:$M$501,0))="","",INDEX(Itens!$L$2:$L$501,MATCH(255,Itens!$M$2:$M$501,0))),"")</f>
        <v/>
      </c>
    </row>
    <row r="268">
      <c r="A268" s="17">
        <f>IFERROR(IF(INDEX(Itens!$A$2:$A$501,MATCH(256,Itens!$M$2:$M$501,0))="","",INDEX(Itens!$A$2:$A$501,MATCH(256,Itens!$M$2:$M$501,0))),"")</f>
        <v/>
      </c>
      <c r="B268" s="17">
        <f>IFERROR(IF(INDEX(Itens!$C$2:$C$501,MATCH(256,Itens!$M$2:$M$501,0))="","",INDEX(Itens!$C$2:$C$501,MATCH(256,Itens!$M$2:$M$501,0))),"")</f>
        <v/>
      </c>
      <c r="C268" s="17">
        <f>IFERROR(IF(INDEX(Itens!$E$2:$E$501,MATCH(256,Itens!$M$2:$M$501,0))="","",INDEX(Itens!$E$2:$E$501,MATCH(256,Itens!$M$2:$M$501,0))),"")</f>
        <v/>
      </c>
      <c r="D268" s="17">
        <f>IFERROR(IF(INDEX(Itens!$F$2:$F$501,MATCH(256,Itens!$M$2:$M$501,0))="","",INDEX(Itens!$F$2:$F$501,MATCH(256,Itens!$M$2:$M$501,0))),"")</f>
        <v/>
      </c>
      <c r="E268" s="17">
        <f>IFERROR(IF(INDEX(Itens!$G$2:$G$501,MATCH(256,Itens!$M$2:$M$501,0))="","",INDEX(Itens!$G$2:$G$501,MATCH(256,Itens!$M$2:$M$501,0))),"")</f>
        <v/>
      </c>
      <c r="F268" s="17">
        <f>IFERROR(IF(INDEX(Itens!$I$2:$I$501,MATCH(256,Itens!$M$2:$M$501,0))="","",INDEX(Itens!$I$2:$I$501,MATCH(256,Itens!$M$2:$M$501,0))),"")</f>
        <v/>
      </c>
      <c r="G268" s="17">
        <f>IFERROR(IF(INDEX(Itens!$J$2:$J$501,MATCH(256,Itens!$M$2:$M$501,0))="","",INDEX(Itens!$J$2:$J$501,MATCH(256,Itens!$M$2:$M$501,0))),"")</f>
        <v/>
      </c>
      <c r="H268" s="18">
        <f>IFERROR(IF(INDEX(Itens!$K$2:$K$501,MATCH(256,Itens!$M$2:$M$501,0))="","",INDEX(Itens!$K$2:$K$501,MATCH(256,Itens!$M$2:$M$501,0))),"")</f>
        <v/>
      </c>
      <c r="I268" s="17">
        <f>IFERROR(IF(INDEX(Itens!$L$2:$L$501,MATCH(256,Itens!$M$2:$M$501,0))="","",INDEX(Itens!$L$2:$L$501,MATCH(256,Itens!$M$2:$M$501,0))),"")</f>
        <v/>
      </c>
    </row>
    <row r="269">
      <c r="A269" s="17">
        <f>IFERROR(IF(INDEX(Itens!$A$2:$A$501,MATCH(257,Itens!$M$2:$M$501,0))="","",INDEX(Itens!$A$2:$A$501,MATCH(257,Itens!$M$2:$M$501,0))),"")</f>
        <v/>
      </c>
      <c r="B269" s="17">
        <f>IFERROR(IF(INDEX(Itens!$C$2:$C$501,MATCH(257,Itens!$M$2:$M$501,0))="","",INDEX(Itens!$C$2:$C$501,MATCH(257,Itens!$M$2:$M$501,0))),"")</f>
        <v/>
      </c>
      <c r="C269" s="17">
        <f>IFERROR(IF(INDEX(Itens!$E$2:$E$501,MATCH(257,Itens!$M$2:$M$501,0))="","",INDEX(Itens!$E$2:$E$501,MATCH(257,Itens!$M$2:$M$501,0))),"")</f>
        <v/>
      </c>
      <c r="D269" s="17">
        <f>IFERROR(IF(INDEX(Itens!$F$2:$F$501,MATCH(257,Itens!$M$2:$M$501,0))="","",INDEX(Itens!$F$2:$F$501,MATCH(257,Itens!$M$2:$M$501,0))),"")</f>
        <v/>
      </c>
      <c r="E269" s="17">
        <f>IFERROR(IF(INDEX(Itens!$G$2:$G$501,MATCH(257,Itens!$M$2:$M$501,0))="","",INDEX(Itens!$G$2:$G$501,MATCH(257,Itens!$M$2:$M$501,0))),"")</f>
        <v/>
      </c>
      <c r="F269" s="17">
        <f>IFERROR(IF(INDEX(Itens!$I$2:$I$501,MATCH(257,Itens!$M$2:$M$501,0))="","",INDEX(Itens!$I$2:$I$501,MATCH(257,Itens!$M$2:$M$501,0))),"")</f>
        <v/>
      </c>
      <c r="G269" s="17">
        <f>IFERROR(IF(INDEX(Itens!$J$2:$J$501,MATCH(257,Itens!$M$2:$M$501,0))="","",INDEX(Itens!$J$2:$J$501,MATCH(257,Itens!$M$2:$M$501,0))),"")</f>
        <v/>
      </c>
      <c r="H269" s="18">
        <f>IFERROR(IF(INDEX(Itens!$K$2:$K$501,MATCH(257,Itens!$M$2:$M$501,0))="","",INDEX(Itens!$K$2:$K$501,MATCH(257,Itens!$M$2:$M$501,0))),"")</f>
        <v/>
      </c>
      <c r="I269" s="17">
        <f>IFERROR(IF(INDEX(Itens!$L$2:$L$501,MATCH(257,Itens!$M$2:$M$501,0))="","",INDEX(Itens!$L$2:$L$501,MATCH(257,Itens!$M$2:$M$501,0))),"")</f>
        <v/>
      </c>
    </row>
    <row r="270">
      <c r="A270" s="17">
        <f>IFERROR(IF(INDEX(Itens!$A$2:$A$501,MATCH(258,Itens!$M$2:$M$501,0))="","",INDEX(Itens!$A$2:$A$501,MATCH(258,Itens!$M$2:$M$501,0))),"")</f>
        <v/>
      </c>
      <c r="B270" s="17">
        <f>IFERROR(IF(INDEX(Itens!$C$2:$C$501,MATCH(258,Itens!$M$2:$M$501,0))="","",INDEX(Itens!$C$2:$C$501,MATCH(258,Itens!$M$2:$M$501,0))),"")</f>
        <v/>
      </c>
      <c r="C270" s="17">
        <f>IFERROR(IF(INDEX(Itens!$E$2:$E$501,MATCH(258,Itens!$M$2:$M$501,0))="","",INDEX(Itens!$E$2:$E$501,MATCH(258,Itens!$M$2:$M$501,0))),"")</f>
        <v/>
      </c>
      <c r="D270" s="17">
        <f>IFERROR(IF(INDEX(Itens!$F$2:$F$501,MATCH(258,Itens!$M$2:$M$501,0))="","",INDEX(Itens!$F$2:$F$501,MATCH(258,Itens!$M$2:$M$501,0))),"")</f>
        <v/>
      </c>
      <c r="E270" s="17">
        <f>IFERROR(IF(INDEX(Itens!$G$2:$G$501,MATCH(258,Itens!$M$2:$M$501,0))="","",INDEX(Itens!$G$2:$G$501,MATCH(258,Itens!$M$2:$M$501,0))),"")</f>
        <v/>
      </c>
      <c r="F270" s="17">
        <f>IFERROR(IF(INDEX(Itens!$I$2:$I$501,MATCH(258,Itens!$M$2:$M$501,0))="","",INDEX(Itens!$I$2:$I$501,MATCH(258,Itens!$M$2:$M$501,0))),"")</f>
        <v/>
      </c>
      <c r="G270" s="17">
        <f>IFERROR(IF(INDEX(Itens!$J$2:$J$501,MATCH(258,Itens!$M$2:$M$501,0))="","",INDEX(Itens!$J$2:$J$501,MATCH(258,Itens!$M$2:$M$501,0))),"")</f>
        <v/>
      </c>
      <c r="H270" s="18">
        <f>IFERROR(IF(INDEX(Itens!$K$2:$K$501,MATCH(258,Itens!$M$2:$M$501,0))="","",INDEX(Itens!$K$2:$K$501,MATCH(258,Itens!$M$2:$M$501,0))),"")</f>
        <v/>
      </c>
      <c r="I270" s="17">
        <f>IFERROR(IF(INDEX(Itens!$L$2:$L$501,MATCH(258,Itens!$M$2:$M$501,0))="","",INDEX(Itens!$L$2:$L$501,MATCH(258,Itens!$M$2:$M$501,0))),"")</f>
        <v/>
      </c>
    </row>
    <row r="271">
      <c r="A271" s="17">
        <f>IFERROR(IF(INDEX(Itens!$A$2:$A$501,MATCH(259,Itens!$M$2:$M$501,0))="","",INDEX(Itens!$A$2:$A$501,MATCH(259,Itens!$M$2:$M$501,0))),"")</f>
        <v/>
      </c>
      <c r="B271" s="17">
        <f>IFERROR(IF(INDEX(Itens!$C$2:$C$501,MATCH(259,Itens!$M$2:$M$501,0))="","",INDEX(Itens!$C$2:$C$501,MATCH(259,Itens!$M$2:$M$501,0))),"")</f>
        <v/>
      </c>
      <c r="C271" s="17">
        <f>IFERROR(IF(INDEX(Itens!$E$2:$E$501,MATCH(259,Itens!$M$2:$M$501,0))="","",INDEX(Itens!$E$2:$E$501,MATCH(259,Itens!$M$2:$M$501,0))),"")</f>
        <v/>
      </c>
      <c r="D271" s="17">
        <f>IFERROR(IF(INDEX(Itens!$F$2:$F$501,MATCH(259,Itens!$M$2:$M$501,0))="","",INDEX(Itens!$F$2:$F$501,MATCH(259,Itens!$M$2:$M$501,0))),"")</f>
        <v/>
      </c>
      <c r="E271" s="17">
        <f>IFERROR(IF(INDEX(Itens!$G$2:$G$501,MATCH(259,Itens!$M$2:$M$501,0))="","",INDEX(Itens!$G$2:$G$501,MATCH(259,Itens!$M$2:$M$501,0))),"")</f>
        <v/>
      </c>
      <c r="F271" s="17">
        <f>IFERROR(IF(INDEX(Itens!$I$2:$I$501,MATCH(259,Itens!$M$2:$M$501,0))="","",INDEX(Itens!$I$2:$I$501,MATCH(259,Itens!$M$2:$M$501,0))),"")</f>
        <v/>
      </c>
      <c r="G271" s="17">
        <f>IFERROR(IF(INDEX(Itens!$J$2:$J$501,MATCH(259,Itens!$M$2:$M$501,0))="","",INDEX(Itens!$J$2:$J$501,MATCH(259,Itens!$M$2:$M$501,0))),"")</f>
        <v/>
      </c>
      <c r="H271" s="18">
        <f>IFERROR(IF(INDEX(Itens!$K$2:$K$501,MATCH(259,Itens!$M$2:$M$501,0))="","",INDEX(Itens!$K$2:$K$501,MATCH(259,Itens!$M$2:$M$501,0))),"")</f>
        <v/>
      </c>
      <c r="I271" s="17">
        <f>IFERROR(IF(INDEX(Itens!$L$2:$L$501,MATCH(259,Itens!$M$2:$M$501,0))="","",INDEX(Itens!$L$2:$L$501,MATCH(259,Itens!$M$2:$M$501,0))),"")</f>
        <v/>
      </c>
    </row>
    <row r="272">
      <c r="A272" s="17">
        <f>IFERROR(IF(INDEX(Itens!$A$2:$A$501,MATCH(260,Itens!$M$2:$M$501,0))="","",INDEX(Itens!$A$2:$A$501,MATCH(260,Itens!$M$2:$M$501,0))),"")</f>
        <v/>
      </c>
      <c r="B272" s="17">
        <f>IFERROR(IF(INDEX(Itens!$C$2:$C$501,MATCH(260,Itens!$M$2:$M$501,0))="","",INDEX(Itens!$C$2:$C$501,MATCH(260,Itens!$M$2:$M$501,0))),"")</f>
        <v/>
      </c>
      <c r="C272" s="17">
        <f>IFERROR(IF(INDEX(Itens!$E$2:$E$501,MATCH(260,Itens!$M$2:$M$501,0))="","",INDEX(Itens!$E$2:$E$501,MATCH(260,Itens!$M$2:$M$501,0))),"")</f>
        <v/>
      </c>
      <c r="D272" s="17">
        <f>IFERROR(IF(INDEX(Itens!$F$2:$F$501,MATCH(260,Itens!$M$2:$M$501,0))="","",INDEX(Itens!$F$2:$F$501,MATCH(260,Itens!$M$2:$M$501,0))),"")</f>
        <v/>
      </c>
      <c r="E272" s="17">
        <f>IFERROR(IF(INDEX(Itens!$G$2:$G$501,MATCH(260,Itens!$M$2:$M$501,0))="","",INDEX(Itens!$G$2:$G$501,MATCH(260,Itens!$M$2:$M$501,0))),"")</f>
        <v/>
      </c>
      <c r="F272" s="17">
        <f>IFERROR(IF(INDEX(Itens!$I$2:$I$501,MATCH(260,Itens!$M$2:$M$501,0))="","",INDEX(Itens!$I$2:$I$501,MATCH(260,Itens!$M$2:$M$501,0))),"")</f>
        <v/>
      </c>
      <c r="G272" s="17">
        <f>IFERROR(IF(INDEX(Itens!$J$2:$J$501,MATCH(260,Itens!$M$2:$M$501,0))="","",INDEX(Itens!$J$2:$J$501,MATCH(260,Itens!$M$2:$M$501,0))),"")</f>
        <v/>
      </c>
      <c r="H272" s="18">
        <f>IFERROR(IF(INDEX(Itens!$K$2:$K$501,MATCH(260,Itens!$M$2:$M$501,0))="","",INDEX(Itens!$K$2:$K$501,MATCH(260,Itens!$M$2:$M$501,0))),"")</f>
        <v/>
      </c>
      <c r="I272" s="17">
        <f>IFERROR(IF(INDEX(Itens!$L$2:$L$501,MATCH(260,Itens!$M$2:$M$501,0))="","",INDEX(Itens!$L$2:$L$501,MATCH(260,Itens!$M$2:$M$501,0))),"")</f>
        <v/>
      </c>
    </row>
    <row r="273">
      <c r="A273" s="17">
        <f>IFERROR(IF(INDEX(Itens!$A$2:$A$501,MATCH(261,Itens!$M$2:$M$501,0))="","",INDEX(Itens!$A$2:$A$501,MATCH(261,Itens!$M$2:$M$501,0))),"")</f>
        <v/>
      </c>
      <c r="B273" s="17">
        <f>IFERROR(IF(INDEX(Itens!$C$2:$C$501,MATCH(261,Itens!$M$2:$M$501,0))="","",INDEX(Itens!$C$2:$C$501,MATCH(261,Itens!$M$2:$M$501,0))),"")</f>
        <v/>
      </c>
      <c r="C273" s="17">
        <f>IFERROR(IF(INDEX(Itens!$E$2:$E$501,MATCH(261,Itens!$M$2:$M$501,0))="","",INDEX(Itens!$E$2:$E$501,MATCH(261,Itens!$M$2:$M$501,0))),"")</f>
        <v/>
      </c>
      <c r="D273" s="17">
        <f>IFERROR(IF(INDEX(Itens!$F$2:$F$501,MATCH(261,Itens!$M$2:$M$501,0))="","",INDEX(Itens!$F$2:$F$501,MATCH(261,Itens!$M$2:$M$501,0))),"")</f>
        <v/>
      </c>
      <c r="E273" s="17">
        <f>IFERROR(IF(INDEX(Itens!$G$2:$G$501,MATCH(261,Itens!$M$2:$M$501,0))="","",INDEX(Itens!$G$2:$G$501,MATCH(261,Itens!$M$2:$M$501,0))),"")</f>
        <v/>
      </c>
      <c r="F273" s="17">
        <f>IFERROR(IF(INDEX(Itens!$I$2:$I$501,MATCH(261,Itens!$M$2:$M$501,0))="","",INDEX(Itens!$I$2:$I$501,MATCH(261,Itens!$M$2:$M$501,0))),"")</f>
        <v/>
      </c>
      <c r="G273" s="17">
        <f>IFERROR(IF(INDEX(Itens!$J$2:$J$501,MATCH(261,Itens!$M$2:$M$501,0))="","",INDEX(Itens!$J$2:$J$501,MATCH(261,Itens!$M$2:$M$501,0))),"")</f>
        <v/>
      </c>
      <c r="H273" s="18">
        <f>IFERROR(IF(INDEX(Itens!$K$2:$K$501,MATCH(261,Itens!$M$2:$M$501,0))="","",INDEX(Itens!$K$2:$K$501,MATCH(261,Itens!$M$2:$M$501,0))),"")</f>
        <v/>
      </c>
      <c r="I273" s="17">
        <f>IFERROR(IF(INDEX(Itens!$L$2:$L$501,MATCH(261,Itens!$M$2:$M$501,0))="","",INDEX(Itens!$L$2:$L$501,MATCH(261,Itens!$M$2:$M$501,0))),"")</f>
        <v/>
      </c>
    </row>
    <row r="274">
      <c r="A274" s="17">
        <f>IFERROR(IF(INDEX(Itens!$A$2:$A$501,MATCH(262,Itens!$M$2:$M$501,0))="","",INDEX(Itens!$A$2:$A$501,MATCH(262,Itens!$M$2:$M$501,0))),"")</f>
        <v/>
      </c>
      <c r="B274" s="17">
        <f>IFERROR(IF(INDEX(Itens!$C$2:$C$501,MATCH(262,Itens!$M$2:$M$501,0))="","",INDEX(Itens!$C$2:$C$501,MATCH(262,Itens!$M$2:$M$501,0))),"")</f>
        <v/>
      </c>
      <c r="C274" s="17">
        <f>IFERROR(IF(INDEX(Itens!$E$2:$E$501,MATCH(262,Itens!$M$2:$M$501,0))="","",INDEX(Itens!$E$2:$E$501,MATCH(262,Itens!$M$2:$M$501,0))),"")</f>
        <v/>
      </c>
      <c r="D274" s="17">
        <f>IFERROR(IF(INDEX(Itens!$F$2:$F$501,MATCH(262,Itens!$M$2:$M$501,0))="","",INDEX(Itens!$F$2:$F$501,MATCH(262,Itens!$M$2:$M$501,0))),"")</f>
        <v/>
      </c>
      <c r="E274" s="17">
        <f>IFERROR(IF(INDEX(Itens!$G$2:$G$501,MATCH(262,Itens!$M$2:$M$501,0))="","",INDEX(Itens!$G$2:$G$501,MATCH(262,Itens!$M$2:$M$501,0))),"")</f>
        <v/>
      </c>
      <c r="F274" s="17">
        <f>IFERROR(IF(INDEX(Itens!$I$2:$I$501,MATCH(262,Itens!$M$2:$M$501,0))="","",INDEX(Itens!$I$2:$I$501,MATCH(262,Itens!$M$2:$M$501,0))),"")</f>
        <v/>
      </c>
      <c r="G274" s="17">
        <f>IFERROR(IF(INDEX(Itens!$J$2:$J$501,MATCH(262,Itens!$M$2:$M$501,0))="","",INDEX(Itens!$J$2:$J$501,MATCH(262,Itens!$M$2:$M$501,0))),"")</f>
        <v/>
      </c>
      <c r="H274" s="18">
        <f>IFERROR(IF(INDEX(Itens!$K$2:$K$501,MATCH(262,Itens!$M$2:$M$501,0))="","",INDEX(Itens!$K$2:$K$501,MATCH(262,Itens!$M$2:$M$501,0))),"")</f>
        <v/>
      </c>
      <c r="I274" s="17">
        <f>IFERROR(IF(INDEX(Itens!$L$2:$L$501,MATCH(262,Itens!$M$2:$M$501,0))="","",INDEX(Itens!$L$2:$L$501,MATCH(262,Itens!$M$2:$M$501,0))),"")</f>
        <v/>
      </c>
    </row>
    <row r="275">
      <c r="A275" s="17">
        <f>IFERROR(IF(INDEX(Itens!$A$2:$A$501,MATCH(263,Itens!$M$2:$M$501,0))="","",INDEX(Itens!$A$2:$A$501,MATCH(263,Itens!$M$2:$M$501,0))),"")</f>
        <v/>
      </c>
      <c r="B275" s="17">
        <f>IFERROR(IF(INDEX(Itens!$C$2:$C$501,MATCH(263,Itens!$M$2:$M$501,0))="","",INDEX(Itens!$C$2:$C$501,MATCH(263,Itens!$M$2:$M$501,0))),"")</f>
        <v/>
      </c>
      <c r="C275" s="17">
        <f>IFERROR(IF(INDEX(Itens!$E$2:$E$501,MATCH(263,Itens!$M$2:$M$501,0))="","",INDEX(Itens!$E$2:$E$501,MATCH(263,Itens!$M$2:$M$501,0))),"")</f>
        <v/>
      </c>
      <c r="D275" s="17">
        <f>IFERROR(IF(INDEX(Itens!$F$2:$F$501,MATCH(263,Itens!$M$2:$M$501,0))="","",INDEX(Itens!$F$2:$F$501,MATCH(263,Itens!$M$2:$M$501,0))),"")</f>
        <v/>
      </c>
      <c r="E275" s="17">
        <f>IFERROR(IF(INDEX(Itens!$G$2:$G$501,MATCH(263,Itens!$M$2:$M$501,0))="","",INDEX(Itens!$G$2:$G$501,MATCH(263,Itens!$M$2:$M$501,0))),"")</f>
        <v/>
      </c>
      <c r="F275" s="17">
        <f>IFERROR(IF(INDEX(Itens!$I$2:$I$501,MATCH(263,Itens!$M$2:$M$501,0))="","",INDEX(Itens!$I$2:$I$501,MATCH(263,Itens!$M$2:$M$501,0))),"")</f>
        <v/>
      </c>
      <c r="G275" s="17">
        <f>IFERROR(IF(INDEX(Itens!$J$2:$J$501,MATCH(263,Itens!$M$2:$M$501,0))="","",INDEX(Itens!$J$2:$J$501,MATCH(263,Itens!$M$2:$M$501,0))),"")</f>
        <v/>
      </c>
      <c r="H275" s="18">
        <f>IFERROR(IF(INDEX(Itens!$K$2:$K$501,MATCH(263,Itens!$M$2:$M$501,0))="","",INDEX(Itens!$K$2:$K$501,MATCH(263,Itens!$M$2:$M$501,0))),"")</f>
        <v/>
      </c>
      <c r="I275" s="17">
        <f>IFERROR(IF(INDEX(Itens!$L$2:$L$501,MATCH(263,Itens!$M$2:$M$501,0))="","",INDEX(Itens!$L$2:$L$501,MATCH(263,Itens!$M$2:$M$501,0))),"")</f>
        <v/>
      </c>
    </row>
    <row r="276">
      <c r="A276" s="17">
        <f>IFERROR(IF(INDEX(Itens!$A$2:$A$501,MATCH(264,Itens!$M$2:$M$501,0))="","",INDEX(Itens!$A$2:$A$501,MATCH(264,Itens!$M$2:$M$501,0))),"")</f>
        <v/>
      </c>
      <c r="B276" s="17">
        <f>IFERROR(IF(INDEX(Itens!$C$2:$C$501,MATCH(264,Itens!$M$2:$M$501,0))="","",INDEX(Itens!$C$2:$C$501,MATCH(264,Itens!$M$2:$M$501,0))),"")</f>
        <v/>
      </c>
      <c r="C276" s="17">
        <f>IFERROR(IF(INDEX(Itens!$E$2:$E$501,MATCH(264,Itens!$M$2:$M$501,0))="","",INDEX(Itens!$E$2:$E$501,MATCH(264,Itens!$M$2:$M$501,0))),"")</f>
        <v/>
      </c>
      <c r="D276" s="17">
        <f>IFERROR(IF(INDEX(Itens!$F$2:$F$501,MATCH(264,Itens!$M$2:$M$501,0))="","",INDEX(Itens!$F$2:$F$501,MATCH(264,Itens!$M$2:$M$501,0))),"")</f>
        <v/>
      </c>
      <c r="E276" s="17">
        <f>IFERROR(IF(INDEX(Itens!$G$2:$G$501,MATCH(264,Itens!$M$2:$M$501,0))="","",INDEX(Itens!$G$2:$G$501,MATCH(264,Itens!$M$2:$M$501,0))),"")</f>
        <v/>
      </c>
      <c r="F276" s="17">
        <f>IFERROR(IF(INDEX(Itens!$I$2:$I$501,MATCH(264,Itens!$M$2:$M$501,0))="","",INDEX(Itens!$I$2:$I$501,MATCH(264,Itens!$M$2:$M$501,0))),"")</f>
        <v/>
      </c>
      <c r="G276" s="17">
        <f>IFERROR(IF(INDEX(Itens!$J$2:$J$501,MATCH(264,Itens!$M$2:$M$501,0))="","",INDEX(Itens!$J$2:$J$501,MATCH(264,Itens!$M$2:$M$501,0))),"")</f>
        <v/>
      </c>
      <c r="H276" s="18">
        <f>IFERROR(IF(INDEX(Itens!$K$2:$K$501,MATCH(264,Itens!$M$2:$M$501,0))="","",INDEX(Itens!$K$2:$K$501,MATCH(264,Itens!$M$2:$M$501,0))),"")</f>
        <v/>
      </c>
      <c r="I276" s="17">
        <f>IFERROR(IF(INDEX(Itens!$L$2:$L$501,MATCH(264,Itens!$M$2:$M$501,0))="","",INDEX(Itens!$L$2:$L$501,MATCH(264,Itens!$M$2:$M$501,0))),"")</f>
        <v/>
      </c>
    </row>
    <row r="277">
      <c r="A277" s="17">
        <f>IFERROR(IF(INDEX(Itens!$A$2:$A$501,MATCH(265,Itens!$M$2:$M$501,0))="","",INDEX(Itens!$A$2:$A$501,MATCH(265,Itens!$M$2:$M$501,0))),"")</f>
        <v/>
      </c>
      <c r="B277" s="17">
        <f>IFERROR(IF(INDEX(Itens!$C$2:$C$501,MATCH(265,Itens!$M$2:$M$501,0))="","",INDEX(Itens!$C$2:$C$501,MATCH(265,Itens!$M$2:$M$501,0))),"")</f>
        <v/>
      </c>
      <c r="C277" s="17">
        <f>IFERROR(IF(INDEX(Itens!$E$2:$E$501,MATCH(265,Itens!$M$2:$M$501,0))="","",INDEX(Itens!$E$2:$E$501,MATCH(265,Itens!$M$2:$M$501,0))),"")</f>
        <v/>
      </c>
      <c r="D277" s="17">
        <f>IFERROR(IF(INDEX(Itens!$F$2:$F$501,MATCH(265,Itens!$M$2:$M$501,0))="","",INDEX(Itens!$F$2:$F$501,MATCH(265,Itens!$M$2:$M$501,0))),"")</f>
        <v/>
      </c>
      <c r="E277" s="17">
        <f>IFERROR(IF(INDEX(Itens!$G$2:$G$501,MATCH(265,Itens!$M$2:$M$501,0))="","",INDEX(Itens!$G$2:$G$501,MATCH(265,Itens!$M$2:$M$501,0))),"")</f>
        <v/>
      </c>
      <c r="F277" s="17">
        <f>IFERROR(IF(INDEX(Itens!$I$2:$I$501,MATCH(265,Itens!$M$2:$M$501,0))="","",INDEX(Itens!$I$2:$I$501,MATCH(265,Itens!$M$2:$M$501,0))),"")</f>
        <v/>
      </c>
      <c r="G277" s="17">
        <f>IFERROR(IF(INDEX(Itens!$J$2:$J$501,MATCH(265,Itens!$M$2:$M$501,0))="","",INDEX(Itens!$J$2:$J$501,MATCH(265,Itens!$M$2:$M$501,0))),"")</f>
        <v/>
      </c>
      <c r="H277" s="18">
        <f>IFERROR(IF(INDEX(Itens!$K$2:$K$501,MATCH(265,Itens!$M$2:$M$501,0))="","",INDEX(Itens!$K$2:$K$501,MATCH(265,Itens!$M$2:$M$501,0))),"")</f>
        <v/>
      </c>
      <c r="I277" s="17">
        <f>IFERROR(IF(INDEX(Itens!$L$2:$L$501,MATCH(265,Itens!$M$2:$M$501,0))="","",INDEX(Itens!$L$2:$L$501,MATCH(265,Itens!$M$2:$M$501,0))),"")</f>
        <v/>
      </c>
    </row>
    <row r="278">
      <c r="A278" s="17">
        <f>IFERROR(IF(INDEX(Itens!$A$2:$A$501,MATCH(266,Itens!$M$2:$M$501,0))="","",INDEX(Itens!$A$2:$A$501,MATCH(266,Itens!$M$2:$M$501,0))),"")</f>
        <v/>
      </c>
      <c r="B278" s="17">
        <f>IFERROR(IF(INDEX(Itens!$C$2:$C$501,MATCH(266,Itens!$M$2:$M$501,0))="","",INDEX(Itens!$C$2:$C$501,MATCH(266,Itens!$M$2:$M$501,0))),"")</f>
        <v/>
      </c>
      <c r="C278" s="17">
        <f>IFERROR(IF(INDEX(Itens!$E$2:$E$501,MATCH(266,Itens!$M$2:$M$501,0))="","",INDEX(Itens!$E$2:$E$501,MATCH(266,Itens!$M$2:$M$501,0))),"")</f>
        <v/>
      </c>
      <c r="D278" s="17">
        <f>IFERROR(IF(INDEX(Itens!$F$2:$F$501,MATCH(266,Itens!$M$2:$M$501,0))="","",INDEX(Itens!$F$2:$F$501,MATCH(266,Itens!$M$2:$M$501,0))),"")</f>
        <v/>
      </c>
      <c r="E278" s="17">
        <f>IFERROR(IF(INDEX(Itens!$G$2:$G$501,MATCH(266,Itens!$M$2:$M$501,0))="","",INDEX(Itens!$G$2:$G$501,MATCH(266,Itens!$M$2:$M$501,0))),"")</f>
        <v/>
      </c>
      <c r="F278" s="17">
        <f>IFERROR(IF(INDEX(Itens!$I$2:$I$501,MATCH(266,Itens!$M$2:$M$501,0))="","",INDEX(Itens!$I$2:$I$501,MATCH(266,Itens!$M$2:$M$501,0))),"")</f>
        <v/>
      </c>
      <c r="G278" s="17">
        <f>IFERROR(IF(INDEX(Itens!$J$2:$J$501,MATCH(266,Itens!$M$2:$M$501,0))="","",INDEX(Itens!$J$2:$J$501,MATCH(266,Itens!$M$2:$M$501,0))),"")</f>
        <v/>
      </c>
      <c r="H278" s="18">
        <f>IFERROR(IF(INDEX(Itens!$K$2:$K$501,MATCH(266,Itens!$M$2:$M$501,0))="","",INDEX(Itens!$K$2:$K$501,MATCH(266,Itens!$M$2:$M$501,0))),"")</f>
        <v/>
      </c>
      <c r="I278" s="17">
        <f>IFERROR(IF(INDEX(Itens!$L$2:$L$501,MATCH(266,Itens!$M$2:$M$501,0))="","",INDEX(Itens!$L$2:$L$501,MATCH(266,Itens!$M$2:$M$501,0))),"")</f>
        <v/>
      </c>
    </row>
    <row r="279">
      <c r="A279" s="17">
        <f>IFERROR(IF(INDEX(Itens!$A$2:$A$501,MATCH(267,Itens!$M$2:$M$501,0))="","",INDEX(Itens!$A$2:$A$501,MATCH(267,Itens!$M$2:$M$501,0))),"")</f>
        <v/>
      </c>
      <c r="B279" s="17">
        <f>IFERROR(IF(INDEX(Itens!$C$2:$C$501,MATCH(267,Itens!$M$2:$M$501,0))="","",INDEX(Itens!$C$2:$C$501,MATCH(267,Itens!$M$2:$M$501,0))),"")</f>
        <v/>
      </c>
      <c r="C279" s="17">
        <f>IFERROR(IF(INDEX(Itens!$E$2:$E$501,MATCH(267,Itens!$M$2:$M$501,0))="","",INDEX(Itens!$E$2:$E$501,MATCH(267,Itens!$M$2:$M$501,0))),"")</f>
        <v/>
      </c>
      <c r="D279" s="17">
        <f>IFERROR(IF(INDEX(Itens!$F$2:$F$501,MATCH(267,Itens!$M$2:$M$501,0))="","",INDEX(Itens!$F$2:$F$501,MATCH(267,Itens!$M$2:$M$501,0))),"")</f>
        <v/>
      </c>
      <c r="E279" s="17">
        <f>IFERROR(IF(INDEX(Itens!$G$2:$G$501,MATCH(267,Itens!$M$2:$M$501,0))="","",INDEX(Itens!$G$2:$G$501,MATCH(267,Itens!$M$2:$M$501,0))),"")</f>
        <v/>
      </c>
      <c r="F279" s="17">
        <f>IFERROR(IF(INDEX(Itens!$I$2:$I$501,MATCH(267,Itens!$M$2:$M$501,0))="","",INDEX(Itens!$I$2:$I$501,MATCH(267,Itens!$M$2:$M$501,0))),"")</f>
        <v/>
      </c>
      <c r="G279" s="17">
        <f>IFERROR(IF(INDEX(Itens!$J$2:$J$501,MATCH(267,Itens!$M$2:$M$501,0))="","",INDEX(Itens!$J$2:$J$501,MATCH(267,Itens!$M$2:$M$501,0))),"")</f>
        <v/>
      </c>
      <c r="H279" s="18">
        <f>IFERROR(IF(INDEX(Itens!$K$2:$K$501,MATCH(267,Itens!$M$2:$M$501,0))="","",INDEX(Itens!$K$2:$K$501,MATCH(267,Itens!$M$2:$M$501,0))),"")</f>
        <v/>
      </c>
      <c r="I279" s="17">
        <f>IFERROR(IF(INDEX(Itens!$L$2:$L$501,MATCH(267,Itens!$M$2:$M$501,0))="","",INDEX(Itens!$L$2:$L$501,MATCH(267,Itens!$M$2:$M$501,0))),"")</f>
        <v/>
      </c>
    </row>
    <row r="280">
      <c r="A280" s="17">
        <f>IFERROR(IF(INDEX(Itens!$A$2:$A$501,MATCH(268,Itens!$M$2:$M$501,0))="","",INDEX(Itens!$A$2:$A$501,MATCH(268,Itens!$M$2:$M$501,0))),"")</f>
        <v/>
      </c>
      <c r="B280" s="17">
        <f>IFERROR(IF(INDEX(Itens!$C$2:$C$501,MATCH(268,Itens!$M$2:$M$501,0))="","",INDEX(Itens!$C$2:$C$501,MATCH(268,Itens!$M$2:$M$501,0))),"")</f>
        <v/>
      </c>
      <c r="C280" s="17">
        <f>IFERROR(IF(INDEX(Itens!$E$2:$E$501,MATCH(268,Itens!$M$2:$M$501,0))="","",INDEX(Itens!$E$2:$E$501,MATCH(268,Itens!$M$2:$M$501,0))),"")</f>
        <v/>
      </c>
      <c r="D280" s="17">
        <f>IFERROR(IF(INDEX(Itens!$F$2:$F$501,MATCH(268,Itens!$M$2:$M$501,0))="","",INDEX(Itens!$F$2:$F$501,MATCH(268,Itens!$M$2:$M$501,0))),"")</f>
        <v/>
      </c>
      <c r="E280" s="17">
        <f>IFERROR(IF(INDEX(Itens!$G$2:$G$501,MATCH(268,Itens!$M$2:$M$501,0))="","",INDEX(Itens!$G$2:$G$501,MATCH(268,Itens!$M$2:$M$501,0))),"")</f>
        <v/>
      </c>
      <c r="F280" s="17">
        <f>IFERROR(IF(INDEX(Itens!$I$2:$I$501,MATCH(268,Itens!$M$2:$M$501,0))="","",INDEX(Itens!$I$2:$I$501,MATCH(268,Itens!$M$2:$M$501,0))),"")</f>
        <v/>
      </c>
      <c r="G280" s="17">
        <f>IFERROR(IF(INDEX(Itens!$J$2:$J$501,MATCH(268,Itens!$M$2:$M$501,0))="","",INDEX(Itens!$J$2:$J$501,MATCH(268,Itens!$M$2:$M$501,0))),"")</f>
        <v/>
      </c>
      <c r="H280" s="18">
        <f>IFERROR(IF(INDEX(Itens!$K$2:$K$501,MATCH(268,Itens!$M$2:$M$501,0))="","",INDEX(Itens!$K$2:$K$501,MATCH(268,Itens!$M$2:$M$501,0))),"")</f>
        <v/>
      </c>
      <c r="I280" s="17">
        <f>IFERROR(IF(INDEX(Itens!$L$2:$L$501,MATCH(268,Itens!$M$2:$M$501,0))="","",INDEX(Itens!$L$2:$L$501,MATCH(268,Itens!$M$2:$M$501,0))),"")</f>
        <v/>
      </c>
    </row>
    <row r="281">
      <c r="A281" s="17">
        <f>IFERROR(IF(INDEX(Itens!$A$2:$A$501,MATCH(269,Itens!$M$2:$M$501,0))="","",INDEX(Itens!$A$2:$A$501,MATCH(269,Itens!$M$2:$M$501,0))),"")</f>
        <v/>
      </c>
      <c r="B281" s="17">
        <f>IFERROR(IF(INDEX(Itens!$C$2:$C$501,MATCH(269,Itens!$M$2:$M$501,0))="","",INDEX(Itens!$C$2:$C$501,MATCH(269,Itens!$M$2:$M$501,0))),"")</f>
        <v/>
      </c>
      <c r="C281" s="17">
        <f>IFERROR(IF(INDEX(Itens!$E$2:$E$501,MATCH(269,Itens!$M$2:$M$501,0))="","",INDEX(Itens!$E$2:$E$501,MATCH(269,Itens!$M$2:$M$501,0))),"")</f>
        <v/>
      </c>
      <c r="D281" s="17">
        <f>IFERROR(IF(INDEX(Itens!$F$2:$F$501,MATCH(269,Itens!$M$2:$M$501,0))="","",INDEX(Itens!$F$2:$F$501,MATCH(269,Itens!$M$2:$M$501,0))),"")</f>
        <v/>
      </c>
      <c r="E281" s="17">
        <f>IFERROR(IF(INDEX(Itens!$G$2:$G$501,MATCH(269,Itens!$M$2:$M$501,0))="","",INDEX(Itens!$G$2:$G$501,MATCH(269,Itens!$M$2:$M$501,0))),"")</f>
        <v/>
      </c>
      <c r="F281" s="17">
        <f>IFERROR(IF(INDEX(Itens!$I$2:$I$501,MATCH(269,Itens!$M$2:$M$501,0))="","",INDEX(Itens!$I$2:$I$501,MATCH(269,Itens!$M$2:$M$501,0))),"")</f>
        <v/>
      </c>
      <c r="G281" s="17">
        <f>IFERROR(IF(INDEX(Itens!$J$2:$J$501,MATCH(269,Itens!$M$2:$M$501,0))="","",INDEX(Itens!$J$2:$J$501,MATCH(269,Itens!$M$2:$M$501,0))),"")</f>
        <v/>
      </c>
      <c r="H281" s="18">
        <f>IFERROR(IF(INDEX(Itens!$K$2:$K$501,MATCH(269,Itens!$M$2:$M$501,0))="","",INDEX(Itens!$K$2:$K$501,MATCH(269,Itens!$M$2:$M$501,0))),"")</f>
        <v/>
      </c>
      <c r="I281" s="17">
        <f>IFERROR(IF(INDEX(Itens!$L$2:$L$501,MATCH(269,Itens!$M$2:$M$501,0))="","",INDEX(Itens!$L$2:$L$501,MATCH(269,Itens!$M$2:$M$501,0))),"")</f>
        <v/>
      </c>
    </row>
    <row r="282">
      <c r="A282" s="17">
        <f>IFERROR(IF(INDEX(Itens!$A$2:$A$501,MATCH(270,Itens!$M$2:$M$501,0))="","",INDEX(Itens!$A$2:$A$501,MATCH(270,Itens!$M$2:$M$501,0))),"")</f>
        <v/>
      </c>
      <c r="B282" s="17">
        <f>IFERROR(IF(INDEX(Itens!$C$2:$C$501,MATCH(270,Itens!$M$2:$M$501,0))="","",INDEX(Itens!$C$2:$C$501,MATCH(270,Itens!$M$2:$M$501,0))),"")</f>
        <v/>
      </c>
      <c r="C282" s="17">
        <f>IFERROR(IF(INDEX(Itens!$E$2:$E$501,MATCH(270,Itens!$M$2:$M$501,0))="","",INDEX(Itens!$E$2:$E$501,MATCH(270,Itens!$M$2:$M$501,0))),"")</f>
        <v/>
      </c>
      <c r="D282" s="17">
        <f>IFERROR(IF(INDEX(Itens!$F$2:$F$501,MATCH(270,Itens!$M$2:$M$501,0))="","",INDEX(Itens!$F$2:$F$501,MATCH(270,Itens!$M$2:$M$501,0))),"")</f>
        <v/>
      </c>
      <c r="E282" s="17">
        <f>IFERROR(IF(INDEX(Itens!$G$2:$G$501,MATCH(270,Itens!$M$2:$M$501,0))="","",INDEX(Itens!$G$2:$G$501,MATCH(270,Itens!$M$2:$M$501,0))),"")</f>
        <v/>
      </c>
      <c r="F282" s="17">
        <f>IFERROR(IF(INDEX(Itens!$I$2:$I$501,MATCH(270,Itens!$M$2:$M$501,0))="","",INDEX(Itens!$I$2:$I$501,MATCH(270,Itens!$M$2:$M$501,0))),"")</f>
        <v/>
      </c>
      <c r="G282" s="17">
        <f>IFERROR(IF(INDEX(Itens!$J$2:$J$501,MATCH(270,Itens!$M$2:$M$501,0))="","",INDEX(Itens!$J$2:$J$501,MATCH(270,Itens!$M$2:$M$501,0))),"")</f>
        <v/>
      </c>
      <c r="H282" s="18">
        <f>IFERROR(IF(INDEX(Itens!$K$2:$K$501,MATCH(270,Itens!$M$2:$M$501,0))="","",INDEX(Itens!$K$2:$K$501,MATCH(270,Itens!$M$2:$M$501,0))),"")</f>
        <v/>
      </c>
      <c r="I282" s="17">
        <f>IFERROR(IF(INDEX(Itens!$L$2:$L$501,MATCH(270,Itens!$M$2:$M$501,0))="","",INDEX(Itens!$L$2:$L$501,MATCH(270,Itens!$M$2:$M$501,0))),"")</f>
        <v/>
      </c>
    </row>
    <row r="283">
      <c r="A283" s="17">
        <f>IFERROR(IF(INDEX(Itens!$A$2:$A$501,MATCH(271,Itens!$M$2:$M$501,0))="","",INDEX(Itens!$A$2:$A$501,MATCH(271,Itens!$M$2:$M$501,0))),"")</f>
        <v/>
      </c>
      <c r="B283" s="17">
        <f>IFERROR(IF(INDEX(Itens!$C$2:$C$501,MATCH(271,Itens!$M$2:$M$501,0))="","",INDEX(Itens!$C$2:$C$501,MATCH(271,Itens!$M$2:$M$501,0))),"")</f>
        <v/>
      </c>
      <c r="C283" s="17">
        <f>IFERROR(IF(INDEX(Itens!$E$2:$E$501,MATCH(271,Itens!$M$2:$M$501,0))="","",INDEX(Itens!$E$2:$E$501,MATCH(271,Itens!$M$2:$M$501,0))),"")</f>
        <v/>
      </c>
      <c r="D283" s="17">
        <f>IFERROR(IF(INDEX(Itens!$F$2:$F$501,MATCH(271,Itens!$M$2:$M$501,0))="","",INDEX(Itens!$F$2:$F$501,MATCH(271,Itens!$M$2:$M$501,0))),"")</f>
        <v/>
      </c>
      <c r="E283" s="17">
        <f>IFERROR(IF(INDEX(Itens!$G$2:$G$501,MATCH(271,Itens!$M$2:$M$501,0))="","",INDEX(Itens!$G$2:$G$501,MATCH(271,Itens!$M$2:$M$501,0))),"")</f>
        <v/>
      </c>
      <c r="F283" s="17">
        <f>IFERROR(IF(INDEX(Itens!$I$2:$I$501,MATCH(271,Itens!$M$2:$M$501,0))="","",INDEX(Itens!$I$2:$I$501,MATCH(271,Itens!$M$2:$M$501,0))),"")</f>
        <v/>
      </c>
      <c r="G283" s="17">
        <f>IFERROR(IF(INDEX(Itens!$J$2:$J$501,MATCH(271,Itens!$M$2:$M$501,0))="","",INDEX(Itens!$J$2:$J$501,MATCH(271,Itens!$M$2:$M$501,0))),"")</f>
        <v/>
      </c>
      <c r="H283" s="18">
        <f>IFERROR(IF(INDEX(Itens!$K$2:$K$501,MATCH(271,Itens!$M$2:$M$501,0))="","",INDEX(Itens!$K$2:$K$501,MATCH(271,Itens!$M$2:$M$501,0))),"")</f>
        <v/>
      </c>
      <c r="I283" s="17">
        <f>IFERROR(IF(INDEX(Itens!$L$2:$L$501,MATCH(271,Itens!$M$2:$M$501,0))="","",INDEX(Itens!$L$2:$L$501,MATCH(271,Itens!$M$2:$M$501,0))),"")</f>
        <v/>
      </c>
    </row>
    <row r="284">
      <c r="A284" s="17">
        <f>IFERROR(IF(INDEX(Itens!$A$2:$A$501,MATCH(272,Itens!$M$2:$M$501,0))="","",INDEX(Itens!$A$2:$A$501,MATCH(272,Itens!$M$2:$M$501,0))),"")</f>
        <v/>
      </c>
      <c r="B284" s="17">
        <f>IFERROR(IF(INDEX(Itens!$C$2:$C$501,MATCH(272,Itens!$M$2:$M$501,0))="","",INDEX(Itens!$C$2:$C$501,MATCH(272,Itens!$M$2:$M$501,0))),"")</f>
        <v/>
      </c>
      <c r="C284" s="17">
        <f>IFERROR(IF(INDEX(Itens!$E$2:$E$501,MATCH(272,Itens!$M$2:$M$501,0))="","",INDEX(Itens!$E$2:$E$501,MATCH(272,Itens!$M$2:$M$501,0))),"")</f>
        <v/>
      </c>
      <c r="D284" s="17">
        <f>IFERROR(IF(INDEX(Itens!$F$2:$F$501,MATCH(272,Itens!$M$2:$M$501,0))="","",INDEX(Itens!$F$2:$F$501,MATCH(272,Itens!$M$2:$M$501,0))),"")</f>
        <v/>
      </c>
      <c r="E284" s="17">
        <f>IFERROR(IF(INDEX(Itens!$G$2:$G$501,MATCH(272,Itens!$M$2:$M$501,0))="","",INDEX(Itens!$G$2:$G$501,MATCH(272,Itens!$M$2:$M$501,0))),"")</f>
        <v/>
      </c>
      <c r="F284" s="17">
        <f>IFERROR(IF(INDEX(Itens!$I$2:$I$501,MATCH(272,Itens!$M$2:$M$501,0))="","",INDEX(Itens!$I$2:$I$501,MATCH(272,Itens!$M$2:$M$501,0))),"")</f>
        <v/>
      </c>
      <c r="G284" s="17">
        <f>IFERROR(IF(INDEX(Itens!$J$2:$J$501,MATCH(272,Itens!$M$2:$M$501,0))="","",INDEX(Itens!$J$2:$J$501,MATCH(272,Itens!$M$2:$M$501,0))),"")</f>
        <v/>
      </c>
      <c r="H284" s="18">
        <f>IFERROR(IF(INDEX(Itens!$K$2:$K$501,MATCH(272,Itens!$M$2:$M$501,0))="","",INDEX(Itens!$K$2:$K$501,MATCH(272,Itens!$M$2:$M$501,0))),"")</f>
        <v/>
      </c>
      <c r="I284" s="17">
        <f>IFERROR(IF(INDEX(Itens!$L$2:$L$501,MATCH(272,Itens!$M$2:$M$501,0))="","",INDEX(Itens!$L$2:$L$501,MATCH(272,Itens!$M$2:$M$501,0))),"")</f>
        <v/>
      </c>
    </row>
    <row r="285">
      <c r="A285" s="17">
        <f>IFERROR(IF(INDEX(Itens!$A$2:$A$501,MATCH(273,Itens!$M$2:$M$501,0))="","",INDEX(Itens!$A$2:$A$501,MATCH(273,Itens!$M$2:$M$501,0))),"")</f>
        <v/>
      </c>
      <c r="B285" s="17">
        <f>IFERROR(IF(INDEX(Itens!$C$2:$C$501,MATCH(273,Itens!$M$2:$M$501,0))="","",INDEX(Itens!$C$2:$C$501,MATCH(273,Itens!$M$2:$M$501,0))),"")</f>
        <v/>
      </c>
      <c r="C285" s="17">
        <f>IFERROR(IF(INDEX(Itens!$E$2:$E$501,MATCH(273,Itens!$M$2:$M$501,0))="","",INDEX(Itens!$E$2:$E$501,MATCH(273,Itens!$M$2:$M$501,0))),"")</f>
        <v/>
      </c>
      <c r="D285" s="17">
        <f>IFERROR(IF(INDEX(Itens!$F$2:$F$501,MATCH(273,Itens!$M$2:$M$501,0))="","",INDEX(Itens!$F$2:$F$501,MATCH(273,Itens!$M$2:$M$501,0))),"")</f>
        <v/>
      </c>
      <c r="E285" s="17">
        <f>IFERROR(IF(INDEX(Itens!$G$2:$G$501,MATCH(273,Itens!$M$2:$M$501,0))="","",INDEX(Itens!$G$2:$G$501,MATCH(273,Itens!$M$2:$M$501,0))),"")</f>
        <v/>
      </c>
      <c r="F285" s="17">
        <f>IFERROR(IF(INDEX(Itens!$I$2:$I$501,MATCH(273,Itens!$M$2:$M$501,0))="","",INDEX(Itens!$I$2:$I$501,MATCH(273,Itens!$M$2:$M$501,0))),"")</f>
        <v/>
      </c>
      <c r="G285" s="17">
        <f>IFERROR(IF(INDEX(Itens!$J$2:$J$501,MATCH(273,Itens!$M$2:$M$501,0))="","",INDEX(Itens!$J$2:$J$501,MATCH(273,Itens!$M$2:$M$501,0))),"")</f>
        <v/>
      </c>
      <c r="H285" s="18">
        <f>IFERROR(IF(INDEX(Itens!$K$2:$K$501,MATCH(273,Itens!$M$2:$M$501,0))="","",INDEX(Itens!$K$2:$K$501,MATCH(273,Itens!$M$2:$M$501,0))),"")</f>
        <v/>
      </c>
      <c r="I285" s="17">
        <f>IFERROR(IF(INDEX(Itens!$L$2:$L$501,MATCH(273,Itens!$M$2:$M$501,0))="","",INDEX(Itens!$L$2:$L$501,MATCH(273,Itens!$M$2:$M$501,0))),"")</f>
        <v/>
      </c>
    </row>
    <row r="286">
      <c r="A286" s="17">
        <f>IFERROR(IF(INDEX(Itens!$A$2:$A$501,MATCH(274,Itens!$M$2:$M$501,0))="","",INDEX(Itens!$A$2:$A$501,MATCH(274,Itens!$M$2:$M$501,0))),"")</f>
        <v/>
      </c>
      <c r="B286" s="17">
        <f>IFERROR(IF(INDEX(Itens!$C$2:$C$501,MATCH(274,Itens!$M$2:$M$501,0))="","",INDEX(Itens!$C$2:$C$501,MATCH(274,Itens!$M$2:$M$501,0))),"")</f>
        <v/>
      </c>
      <c r="C286" s="17">
        <f>IFERROR(IF(INDEX(Itens!$E$2:$E$501,MATCH(274,Itens!$M$2:$M$501,0))="","",INDEX(Itens!$E$2:$E$501,MATCH(274,Itens!$M$2:$M$501,0))),"")</f>
        <v/>
      </c>
      <c r="D286" s="17">
        <f>IFERROR(IF(INDEX(Itens!$F$2:$F$501,MATCH(274,Itens!$M$2:$M$501,0))="","",INDEX(Itens!$F$2:$F$501,MATCH(274,Itens!$M$2:$M$501,0))),"")</f>
        <v/>
      </c>
      <c r="E286" s="17">
        <f>IFERROR(IF(INDEX(Itens!$G$2:$G$501,MATCH(274,Itens!$M$2:$M$501,0))="","",INDEX(Itens!$G$2:$G$501,MATCH(274,Itens!$M$2:$M$501,0))),"")</f>
        <v/>
      </c>
      <c r="F286" s="17">
        <f>IFERROR(IF(INDEX(Itens!$I$2:$I$501,MATCH(274,Itens!$M$2:$M$501,0))="","",INDEX(Itens!$I$2:$I$501,MATCH(274,Itens!$M$2:$M$501,0))),"")</f>
        <v/>
      </c>
      <c r="G286" s="17">
        <f>IFERROR(IF(INDEX(Itens!$J$2:$J$501,MATCH(274,Itens!$M$2:$M$501,0))="","",INDEX(Itens!$J$2:$J$501,MATCH(274,Itens!$M$2:$M$501,0))),"")</f>
        <v/>
      </c>
      <c r="H286" s="18">
        <f>IFERROR(IF(INDEX(Itens!$K$2:$K$501,MATCH(274,Itens!$M$2:$M$501,0))="","",INDEX(Itens!$K$2:$K$501,MATCH(274,Itens!$M$2:$M$501,0))),"")</f>
        <v/>
      </c>
      <c r="I286" s="17">
        <f>IFERROR(IF(INDEX(Itens!$L$2:$L$501,MATCH(274,Itens!$M$2:$M$501,0))="","",INDEX(Itens!$L$2:$L$501,MATCH(274,Itens!$M$2:$M$501,0))),"")</f>
        <v/>
      </c>
    </row>
    <row r="287">
      <c r="A287" s="17">
        <f>IFERROR(IF(INDEX(Itens!$A$2:$A$501,MATCH(275,Itens!$M$2:$M$501,0))="","",INDEX(Itens!$A$2:$A$501,MATCH(275,Itens!$M$2:$M$501,0))),"")</f>
        <v/>
      </c>
      <c r="B287" s="17">
        <f>IFERROR(IF(INDEX(Itens!$C$2:$C$501,MATCH(275,Itens!$M$2:$M$501,0))="","",INDEX(Itens!$C$2:$C$501,MATCH(275,Itens!$M$2:$M$501,0))),"")</f>
        <v/>
      </c>
      <c r="C287" s="17">
        <f>IFERROR(IF(INDEX(Itens!$E$2:$E$501,MATCH(275,Itens!$M$2:$M$501,0))="","",INDEX(Itens!$E$2:$E$501,MATCH(275,Itens!$M$2:$M$501,0))),"")</f>
        <v/>
      </c>
      <c r="D287" s="17">
        <f>IFERROR(IF(INDEX(Itens!$F$2:$F$501,MATCH(275,Itens!$M$2:$M$501,0))="","",INDEX(Itens!$F$2:$F$501,MATCH(275,Itens!$M$2:$M$501,0))),"")</f>
        <v/>
      </c>
      <c r="E287" s="17">
        <f>IFERROR(IF(INDEX(Itens!$G$2:$G$501,MATCH(275,Itens!$M$2:$M$501,0))="","",INDEX(Itens!$G$2:$G$501,MATCH(275,Itens!$M$2:$M$501,0))),"")</f>
        <v/>
      </c>
      <c r="F287" s="17">
        <f>IFERROR(IF(INDEX(Itens!$I$2:$I$501,MATCH(275,Itens!$M$2:$M$501,0))="","",INDEX(Itens!$I$2:$I$501,MATCH(275,Itens!$M$2:$M$501,0))),"")</f>
        <v/>
      </c>
      <c r="G287" s="17">
        <f>IFERROR(IF(INDEX(Itens!$J$2:$J$501,MATCH(275,Itens!$M$2:$M$501,0))="","",INDEX(Itens!$J$2:$J$501,MATCH(275,Itens!$M$2:$M$501,0))),"")</f>
        <v/>
      </c>
      <c r="H287" s="18">
        <f>IFERROR(IF(INDEX(Itens!$K$2:$K$501,MATCH(275,Itens!$M$2:$M$501,0))="","",INDEX(Itens!$K$2:$K$501,MATCH(275,Itens!$M$2:$M$501,0))),"")</f>
        <v/>
      </c>
      <c r="I287" s="17">
        <f>IFERROR(IF(INDEX(Itens!$L$2:$L$501,MATCH(275,Itens!$M$2:$M$501,0))="","",INDEX(Itens!$L$2:$L$501,MATCH(275,Itens!$M$2:$M$501,0))),"")</f>
        <v/>
      </c>
    </row>
    <row r="288">
      <c r="A288" s="17">
        <f>IFERROR(IF(INDEX(Itens!$A$2:$A$501,MATCH(276,Itens!$M$2:$M$501,0))="","",INDEX(Itens!$A$2:$A$501,MATCH(276,Itens!$M$2:$M$501,0))),"")</f>
        <v/>
      </c>
      <c r="B288" s="17">
        <f>IFERROR(IF(INDEX(Itens!$C$2:$C$501,MATCH(276,Itens!$M$2:$M$501,0))="","",INDEX(Itens!$C$2:$C$501,MATCH(276,Itens!$M$2:$M$501,0))),"")</f>
        <v/>
      </c>
      <c r="C288" s="17">
        <f>IFERROR(IF(INDEX(Itens!$E$2:$E$501,MATCH(276,Itens!$M$2:$M$501,0))="","",INDEX(Itens!$E$2:$E$501,MATCH(276,Itens!$M$2:$M$501,0))),"")</f>
        <v/>
      </c>
      <c r="D288" s="17">
        <f>IFERROR(IF(INDEX(Itens!$F$2:$F$501,MATCH(276,Itens!$M$2:$M$501,0))="","",INDEX(Itens!$F$2:$F$501,MATCH(276,Itens!$M$2:$M$501,0))),"")</f>
        <v/>
      </c>
      <c r="E288" s="17">
        <f>IFERROR(IF(INDEX(Itens!$G$2:$G$501,MATCH(276,Itens!$M$2:$M$501,0))="","",INDEX(Itens!$G$2:$G$501,MATCH(276,Itens!$M$2:$M$501,0))),"")</f>
        <v/>
      </c>
      <c r="F288" s="17">
        <f>IFERROR(IF(INDEX(Itens!$I$2:$I$501,MATCH(276,Itens!$M$2:$M$501,0))="","",INDEX(Itens!$I$2:$I$501,MATCH(276,Itens!$M$2:$M$501,0))),"")</f>
        <v/>
      </c>
      <c r="G288" s="17">
        <f>IFERROR(IF(INDEX(Itens!$J$2:$J$501,MATCH(276,Itens!$M$2:$M$501,0))="","",INDEX(Itens!$J$2:$J$501,MATCH(276,Itens!$M$2:$M$501,0))),"")</f>
        <v/>
      </c>
      <c r="H288" s="18">
        <f>IFERROR(IF(INDEX(Itens!$K$2:$K$501,MATCH(276,Itens!$M$2:$M$501,0))="","",INDEX(Itens!$K$2:$K$501,MATCH(276,Itens!$M$2:$M$501,0))),"")</f>
        <v/>
      </c>
      <c r="I288" s="17">
        <f>IFERROR(IF(INDEX(Itens!$L$2:$L$501,MATCH(276,Itens!$M$2:$M$501,0))="","",INDEX(Itens!$L$2:$L$501,MATCH(276,Itens!$M$2:$M$501,0))),"")</f>
        <v/>
      </c>
    </row>
    <row r="289">
      <c r="A289" s="17">
        <f>IFERROR(IF(INDEX(Itens!$A$2:$A$501,MATCH(277,Itens!$M$2:$M$501,0))="","",INDEX(Itens!$A$2:$A$501,MATCH(277,Itens!$M$2:$M$501,0))),"")</f>
        <v/>
      </c>
      <c r="B289" s="17">
        <f>IFERROR(IF(INDEX(Itens!$C$2:$C$501,MATCH(277,Itens!$M$2:$M$501,0))="","",INDEX(Itens!$C$2:$C$501,MATCH(277,Itens!$M$2:$M$501,0))),"")</f>
        <v/>
      </c>
      <c r="C289" s="17">
        <f>IFERROR(IF(INDEX(Itens!$E$2:$E$501,MATCH(277,Itens!$M$2:$M$501,0))="","",INDEX(Itens!$E$2:$E$501,MATCH(277,Itens!$M$2:$M$501,0))),"")</f>
        <v/>
      </c>
      <c r="D289" s="17">
        <f>IFERROR(IF(INDEX(Itens!$F$2:$F$501,MATCH(277,Itens!$M$2:$M$501,0))="","",INDEX(Itens!$F$2:$F$501,MATCH(277,Itens!$M$2:$M$501,0))),"")</f>
        <v/>
      </c>
      <c r="E289" s="17">
        <f>IFERROR(IF(INDEX(Itens!$G$2:$G$501,MATCH(277,Itens!$M$2:$M$501,0))="","",INDEX(Itens!$G$2:$G$501,MATCH(277,Itens!$M$2:$M$501,0))),"")</f>
        <v/>
      </c>
      <c r="F289" s="17">
        <f>IFERROR(IF(INDEX(Itens!$I$2:$I$501,MATCH(277,Itens!$M$2:$M$501,0))="","",INDEX(Itens!$I$2:$I$501,MATCH(277,Itens!$M$2:$M$501,0))),"")</f>
        <v/>
      </c>
      <c r="G289" s="17">
        <f>IFERROR(IF(INDEX(Itens!$J$2:$J$501,MATCH(277,Itens!$M$2:$M$501,0))="","",INDEX(Itens!$J$2:$J$501,MATCH(277,Itens!$M$2:$M$501,0))),"")</f>
        <v/>
      </c>
      <c r="H289" s="18">
        <f>IFERROR(IF(INDEX(Itens!$K$2:$K$501,MATCH(277,Itens!$M$2:$M$501,0))="","",INDEX(Itens!$K$2:$K$501,MATCH(277,Itens!$M$2:$M$501,0))),"")</f>
        <v/>
      </c>
      <c r="I289" s="17">
        <f>IFERROR(IF(INDEX(Itens!$L$2:$L$501,MATCH(277,Itens!$M$2:$M$501,0))="","",INDEX(Itens!$L$2:$L$501,MATCH(277,Itens!$M$2:$M$501,0))),"")</f>
        <v/>
      </c>
    </row>
    <row r="290">
      <c r="A290" s="17">
        <f>IFERROR(IF(INDEX(Itens!$A$2:$A$501,MATCH(278,Itens!$M$2:$M$501,0))="","",INDEX(Itens!$A$2:$A$501,MATCH(278,Itens!$M$2:$M$501,0))),"")</f>
        <v/>
      </c>
      <c r="B290" s="17">
        <f>IFERROR(IF(INDEX(Itens!$C$2:$C$501,MATCH(278,Itens!$M$2:$M$501,0))="","",INDEX(Itens!$C$2:$C$501,MATCH(278,Itens!$M$2:$M$501,0))),"")</f>
        <v/>
      </c>
      <c r="C290" s="17">
        <f>IFERROR(IF(INDEX(Itens!$E$2:$E$501,MATCH(278,Itens!$M$2:$M$501,0))="","",INDEX(Itens!$E$2:$E$501,MATCH(278,Itens!$M$2:$M$501,0))),"")</f>
        <v/>
      </c>
      <c r="D290" s="17">
        <f>IFERROR(IF(INDEX(Itens!$F$2:$F$501,MATCH(278,Itens!$M$2:$M$501,0))="","",INDEX(Itens!$F$2:$F$501,MATCH(278,Itens!$M$2:$M$501,0))),"")</f>
        <v/>
      </c>
      <c r="E290" s="17">
        <f>IFERROR(IF(INDEX(Itens!$G$2:$G$501,MATCH(278,Itens!$M$2:$M$501,0))="","",INDEX(Itens!$G$2:$G$501,MATCH(278,Itens!$M$2:$M$501,0))),"")</f>
        <v/>
      </c>
      <c r="F290" s="17">
        <f>IFERROR(IF(INDEX(Itens!$I$2:$I$501,MATCH(278,Itens!$M$2:$M$501,0))="","",INDEX(Itens!$I$2:$I$501,MATCH(278,Itens!$M$2:$M$501,0))),"")</f>
        <v/>
      </c>
      <c r="G290" s="17">
        <f>IFERROR(IF(INDEX(Itens!$J$2:$J$501,MATCH(278,Itens!$M$2:$M$501,0))="","",INDEX(Itens!$J$2:$J$501,MATCH(278,Itens!$M$2:$M$501,0))),"")</f>
        <v/>
      </c>
      <c r="H290" s="18">
        <f>IFERROR(IF(INDEX(Itens!$K$2:$K$501,MATCH(278,Itens!$M$2:$M$501,0))="","",INDEX(Itens!$K$2:$K$501,MATCH(278,Itens!$M$2:$M$501,0))),"")</f>
        <v/>
      </c>
      <c r="I290" s="17">
        <f>IFERROR(IF(INDEX(Itens!$L$2:$L$501,MATCH(278,Itens!$M$2:$M$501,0))="","",INDEX(Itens!$L$2:$L$501,MATCH(278,Itens!$M$2:$M$501,0))),"")</f>
        <v/>
      </c>
    </row>
    <row r="291">
      <c r="A291" s="17">
        <f>IFERROR(IF(INDEX(Itens!$A$2:$A$501,MATCH(279,Itens!$M$2:$M$501,0))="","",INDEX(Itens!$A$2:$A$501,MATCH(279,Itens!$M$2:$M$501,0))),"")</f>
        <v/>
      </c>
      <c r="B291" s="17">
        <f>IFERROR(IF(INDEX(Itens!$C$2:$C$501,MATCH(279,Itens!$M$2:$M$501,0))="","",INDEX(Itens!$C$2:$C$501,MATCH(279,Itens!$M$2:$M$501,0))),"")</f>
        <v/>
      </c>
      <c r="C291" s="17">
        <f>IFERROR(IF(INDEX(Itens!$E$2:$E$501,MATCH(279,Itens!$M$2:$M$501,0))="","",INDEX(Itens!$E$2:$E$501,MATCH(279,Itens!$M$2:$M$501,0))),"")</f>
        <v/>
      </c>
      <c r="D291" s="17">
        <f>IFERROR(IF(INDEX(Itens!$F$2:$F$501,MATCH(279,Itens!$M$2:$M$501,0))="","",INDEX(Itens!$F$2:$F$501,MATCH(279,Itens!$M$2:$M$501,0))),"")</f>
        <v/>
      </c>
      <c r="E291" s="17">
        <f>IFERROR(IF(INDEX(Itens!$G$2:$G$501,MATCH(279,Itens!$M$2:$M$501,0))="","",INDEX(Itens!$G$2:$G$501,MATCH(279,Itens!$M$2:$M$501,0))),"")</f>
        <v/>
      </c>
      <c r="F291" s="17">
        <f>IFERROR(IF(INDEX(Itens!$I$2:$I$501,MATCH(279,Itens!$M$2:$M$501,0))="","",INDEX(Itens!$I$2:$I$501,MATCH(279,Itens!$M$2:$M$501,0))),"")</f>
        <v/>
      </c>
      <c r="G291" s="17">
        <f>IFERROR(IF(INDEX(Itens!$J$2:$J$501,MATCH(279,Itens!$M$2:$M$501,0))="","",INDEX(Itens!$J$2:$J$501,MATCH(279,Itens!$M$2:$M$501,0))),"")</f>
        <v/>
      </c>
      <c r="H291" s="18">
        <f>IFERROR(IF(INDEX(Itens!$K$2:$K$501,MATCH(279,Itens!$M$2:$M$501,0))="","",INDEX(Itens!$K$2:$K$501,MATCH(279,Itens!$M$2:$M$501,0))),"")</f>
        <v/>
      </c>
      <c r="I291" s="17">
        <f>IFERROR(IF(INDEX(Itens!$L$2:$L$501,MATCH(279,Itens!$M$2:$M$501,0))="","",INDEX(Itens!$L$2:$L$501,MATCH(279,Itens!$M$2:$M$501,0))),"")</f>
        <v/>
      </c>
    </row>
    <row r="292">
      <c r="A292" s="17">
        <f>IFERROR(IF(INDEX(Itens!$A$2:$A$501,MATCH(280,Itens!$M$2:$M$501,0))="","",INDEX(Itens!$A$2:$A$501,MATCH(280,Itens!$M$2:$M$501,0))),"")</f>
        <v/>
      </c>
      <c r="B292" s="17">
        <f>IFERROR(IF(INDEX(Itens!$C$2:$C$501,MATCH(280,Itens!$M$2:$M$501,0))="","",INDEX(Itens!$C$2:$C$501,MATCH(280,Itens!$M$2:$M$501,0))),"")</f>
        <v/>
      </c>
      <c r="C292" s="17">
        <f>IFERROR(IF(INDEX(Itens!$E$2:$E$501,MATCH(280,Itens!$M$2:$M$501,0))="","",INDEX(Itens!$E$2:$E$501,MATCH(280,Itens!$M$2:$M$501,0))),"")</f>
        <v/>
      </c>
      <c r="D292" s="17">
        <f>IFERROR(IF(INDEX(Itens!$F$2:$F$501,MATCH(280,Itens!$M$2:$M$501,0))="","",INDEX(Itens!$F$2:$F$501,MATCH(280,Itens!$M$2:$M$501,0))),"")</f>
        <v/>
      </c>
      <c r="E292" s="17">
        <f>IFERROR(IF(INDEX(Itens!$G$2:$G$501,MATCH(280,Itens!$M$2:$M$501,0))="","",INDEX(Itens!$G$2:$G$501,MATCH(280,Itens!$M$2:$M$501,0))),"")</f>
        <v/>
      </c>
      <c r="F292" s="17">
        <f>IFERROR(IF(INDEX(Itens!$I$2:$I$501,MATCH(280,Itens!$M$2:$M$501,0))="","",INDEX(Itens!$I$2:$I$501,MATCH(280,Itens!$M$2:$M$501,0))),"")</f>
        <v/>
      </c>
      <c r="G292" s="17">
        <f>IFERROR(IF(INDEX(Itens!$J$2:$J$501,MATCH(280,Itens!$M$2:$M$501,0))="","",INDEX(Itens!$J$2:$J$501,MATCH(280,Itens!$M$2:$M$501,0))),"")</f>
        <v/>
      </c>
      <c r="H292" s="18">
        <f>IFERROR(IF(INDEX(Itens!$K$2:$K$501,MATCH(280,Itens!$M$2:$M$501,0))="","",INDEX(Itens!$K$2:$K$501,MATCH(280,Itens!$M$2:$M$501,0))),"")</f>
        <v/>
      </c>
      <c r="I292" s="17">
        <f>IFERROR(IF(INDEX(Itens!$L$2:$L$501,MATCH(280,Itens!$M$2:$M$501,0))="","",INDEX(Itens!$L$2:$L$501,MATCH(280,Itens!$M$2:$M$501,0))),"")</f>
        <v/>
      </c>
    </row>
    <row r="293">
      <c r="A293" s="17">
        <f>IFERROR(IF(INDEX(Itens!$A$2:$A$501,MATCH(281,Itens!$M$2:$M$501,0))="","",INDEX(Itens!$A$2:$A$501,MATCH(281,Itens!$M$2:$M$501,0))),"")</f>
        <v/>
      </c>
      <c r="B293" s="17">
        <f>IFERROR(IF(INDEX(Itens!$C$2:$C$501,MATCH(281,Itens!$M$2:$M$501,0))="","",INDEX(Itens!$C$2:$C$501,MATCH(281,Itens!$M$2:$M$501,0))),"")</f>
        <v/>
      </c>
      <c r="C293" s="17">
        <f>IFERROR(IF(INDEX(Itens!$E$2:$E$501,MATCH(281,Itens!$M$2:$M$501,0))="","",INDEX(Itens!$E$2:$E$501,MATCH(281,Itens!$M$2:$M$501,0))),"")</f>
        <v/>
      </c>
      <c r="D293" s="17">
        <f>IFERROR(IF(INDEX(Itens!$F$2:$F$501,MATCH(281,Itens!$M$2:$M$501,0))="","",INDEX(Itens!$F$2:$F$501,MATCH(281,Itens!$M$2:$M$501,0))),"")</f>
        <v/>
      </c>
      <c r="E293" s="17">
        <f>IFERROR(IF(INDEX(Itens!$G$2:$G$501,MATCH(281,Itens!$M$2:$M$501,0))="","",INDEX(Itens!$G$2:$G$501,MATCH(281,Itens!$M$2:$M$501,0))),"")</f>
        <v/>
      </c>
      <c r="F293" s="17">
        <f>IFERROR(IF(INDEX(Itens!$I$2:$I$501,MATCH(281,Itens!$M$2:$M$501,0))="","",INDEX(Itens!$I$2:$I$501,MATCH(281,Itens!$M$2:$M$501,0))),"")</f>
        <v/>
      </c>
      <c r="G293" s="17">
        <f>IFERROR(IF(INDEX(Itens!$J$2:$J$501,MATCH(281,Itens!$M$2:$M$501,0))="","",INDEX(Itens!$J$2:$J$501,MATCH(281,Itens!$M$2:$M$501,0))),"")</f>
        <v/>
      </c>
      <c r="H293" s="18">
        <f>IFERROR(IF(INDEX(Itens!$K$2:$K$501,MATCH(281,Itens!$M$2:$M$501,0))="","",INDEX(Itens!$K$2:$K$501,MATCH(281,Itens!$M$2:$M$501,0))),"")</f>
        <v/>
      </c>
      <c r="I293" s="17">
        <f>IFERROR(IF(INDEX(Itens!$L$2:$L$501,MATCH(281,Itens!$M$2:$M$501,0))="","",INDEX(Itens!$L$2:$L$501,MATCH(281,Itens!$M$2:$M$501,0))),"")</f>
        <v/>
      </c>
    </row>
    <row r="294">
      <c r="A294" s="17">
        <f>IFERROR(IF(INDEX(Itens!$A$2:$A$501,MATCH(282,Itens!$M$2:$M$501,0))="","",INDEX(Itens!$A$2:$A$501,MATCH(282,Itens!$M$2:$M$501,0))),"")</f>
        <v/>
      </c>
      <c r="B294" s="17">
        <f>IFERROR(IF(INDEX(Itens!$C$2:$C$501,MATCH(282,Itens!$M$2:$M$501,0))="","",INDEX(Itens!$C$2:$C$501,MATCH(282,Itens!$M$2:$M$501,0))),"")</f>
        <v/>
      </c>
      <c r="C294" s="17">
        <f>IFERROR(IF(INDEX(Itens!$E$2:$E$501,MATCH(282,Itens!$M$2:$M$501,0))="","",INDEX(Itens!$E$2:$E$501,MATCH(282,Itens!$M$2:$M$501,0))),"")</f>
        <v/>
      </c>
      <c r="D294" s="17">
        <f>IFERROR(IF(INDEX(Itens!$F$2:$F$501,MATCH(282,Itens!$M$2:$M$501,0))="","",INDEX(Itens!$F$2:$F$501,MATCH(282,Itens!$M$2:$M$501,0))),"")</f>
        <v/>
      </c>
      <c r="E294" s="17">
        <f>IFERROR(IF(INDEX(Itens!$G$2:$G$501,MATCH(282,Itens!$M$2:$M$501,0))="","",INDEX(Itens!$G$2:$G$501,MATCH(282,Itens!$M$2:$M$501,0))),"")</f>
        <v/>
      </c>
      <c r="F294" s="17">
        <f>IFERROR(IF(INDEX(Itens!$I$2:$I$501,MATCH(282,Itens!$M$2:$M$501,0))="","",INDEX(Itens!$I$2:$I$501,MATCH(282,Itens!$M$2:$M$501,0))),"")</f>
        <v/>
      </c>
      <c r="G294" s="17">
        <f>IFERROR(IF(INDEX(Itens!$J$2:$J$501,MATCH(282,Itens!$M$2:$M$501,0))="","",INDEX(Itens!$J$2:$J$501,MATCH(282,Itens!$M$2:$M$501,0))),"")</f>
        <v/>
      </c>
      <c r="H294" s="18">
        <f>IFERROR(IF(INDEX(Itens!$K$2:$K$501,MATCH(282,Itens!$M$2:$M$501,0))="","",INDEX(Itens!$K$2:$K$501,MATCH(282,Itens!$M$2:$M$501,0))),"")</f>
        <v/>
      </c>
      <c r="I294" s="17">
        <f>IFERROR(IF(INDEX(Itens!$L$2:$L$501,MATCH(282,Itens!$M$2:$M$501,0))="","",INDEX(Itens!$L$2:$L$501,MATCH(282,Itens!$M$2:$M$501,0))),"")</f>
        <v/>
      </c>
    </row>
    <row r="295">
      <c r="A295" s="17">
        <f>IFERROR(IF(INDEX(Itens!$A$2:$A$501,MATCH(283,Itens!$M$2:$M$501,0))="","",INDEX(Itens!$A$2:$A$501,MATCH(283,Itens!$M$2:$M$501,0))),"")</f>
        <v/>
      </c>
      <c r="B295" s="17">
        <f>IFERROR(IF(INDEX(Itens!$C$2:$C$501,MATCH(283,Itens!$M$2:$M$501,0))="","",INDEX(Itens!$C$2:$C$501,MATCH(283,Itens!$M$2:$M$501,0))),"")</f>
        <v/>
      </c>
      <c r="C295" s="17">
        <f>IFERROR(IF(INDEX(Itens!$E$2:$E$501,MATCH(283,Itens!$M$2:$M$501,0))="","",INDEX(Itens!$E$2:$E$501,MATCH(283,Itens!$M$2:$M$501,0))),"")</f>
        <v/>
      </c>
      <c r="D295" s="17">
        <f>IFERROR(IF(INDEX(Itens!$F$2:$F$501,MATCH(283,Itens!$M$2:$M$501,0))="","",INDEX(Itens!$F$2:$F$501,MATCH(283,Itens!$M$2:$M$501,0))),"")</f>
        <v/>
      </c>
      <c r="E295" s="17">
        <f>IFERROR(IF(INDEX(Itens!$G$2:$G$501,MATCH(283,Itens!$M$2:$M$501,0))="","",INDEX(Itens!$G$2:$G$501,MATCH(283,Itens!$M$2:$M$501,0))),"")</f>
        <v/>
      </c>
      <c r="F295" s="17">
        <f>IFERROR(IF(INDEX(Itens!$I$2:$I$501,MATCH(283,Itens!$M$2:$M$501,0))="","",INDEX(Itens!$I$2:$I$501,MATCH(283,Itens!$M$2:$M$501,0))),"")</f>
        <v/>
      </c>
      <c r="G295" s="17">
        <f>IFERROR(IF(INDEX(Itens!$J$2:$J$501,MATCH(283,Itens!$M$2:$M$501,0))="","",INDEX(Itens!$J$2:$J$501,MATCH(283,Itens!$M$2:$M$501,0))),"")</f>
        <v/>
      </c>
      <c r="H295" s="18">
        <f>IFERROR(IF(INDEX(Itens!$K$2:$K$501,MATCH(283,Itens!$M$2:$M$501,0))="","",INDEX(Itens!$K$2:$K$501,MATCH(283,Itens!$M$2:$M$501,0))),"")</f>
        <v/>
      </c>
      <c r="I295" s="17">
        <f>IFERROR(IF(INDEX(Itens!$L$2:$L$501,MATCH(283,Itens!$M$2:$M$501,0))="","",INDEX(Itens!$L$2:$L$501,MATCH(283,Itens!$M$2:$M$501,0))),"")</f>
        <v/>
      </c>
    </row>
    <row r="296">
      <c r="A296" s="17">
        <f>IFERROR(IF(INDEX(Itens!$A$2:$A$501,MATCH(284,Itens!$M$2:$M$501,0))="","",INDEX(Itens!$A$2:$A$501,MATCH(284,Itens!$M$2:$M$501,0))),"")</f>
        <v/>
      </c>
      <c r="B296" s="17">
        <f>IFERROR(IF(INDEX(Itens!$C$2:$C$501,MATCH(284,Itens!$M$2:$M$501,0))="","",INDEX(Itens!$C$2:$C$501,MATCH(284,Itens!$M$2:$M$501,0))),"")</f>
        <v/>
      </c>
      <c r="C296" s="17">
        <f>IFERROR(IF(INDEX(Itens!$E$2:$E$501,MATCH(284,Itens!$M$2:$M$501,0))="","",INDEX(Itens!$E$2:$E$501,MATCH(284,Itens!$M$2:$M$501,0))),"")</f>
        <v/>
      </c>
      <c r="D296" s="17">
        <f>IFERROR(IF(INDEX(Itens!$F$2:$F$501,MATCH(284,Itens!$M$2:$M$501,0))="","",INDEX(Itens!$F$2:$F$501,MATCH(284,Itens!$M$2:$M$501,0))),"")</f>
        <v/>
      </c>
      <c r="E296" s="17">
        <f>IFERROR(IF(INDEX(Itens!$G$2:$G$501,MATCH(284,Itens!$M$2:$M$501,0))="","",INDEX(Itens!$G$2:$G$501,MATCH(284,Itens!$M$2:$M$501,0))),"")</f>
        <v/>
      </c>
      <c r="F296" s="17">
        <f>IFERROR(IF(INDEX(Itens!$I$2:$I$501,MATCH(284,Itens!$M$2:$M$501,0))="","",INDEX(Itens!$I$2:$I$501,MATCH(284,Itens!$M$2:$M$501,0))),"")</f>
        <v/>
      </c>
      <c r="G296" s="17">
        <f>IFERROR(IF(INDEX(Itens!$J$2:$J$501,MATCH(284,Itens!$M$2:$M$501,0))="","",INDEX(Itens!$J$2:$J$501,MATCH(284,Itens!$M$2:$M$501,0))),"")</f>
        <v/>
      </c>
      <c r="H296" s="18">
        <f>IFERROR(IF(INDEX(Itens!$K$2:$K$501,MATCH(284,Itens!$M$2:$M$501,0))="","",INDEX(Itens!$K$2:$K$501,MATCH(284,Itens!$M$2:$M$501,0))),"")</f>
        <v/>
      </c>
      <c r="I296" s="17">
        <f>IFERROR(IF(INDEX(Itens!$L$2:$L$501,MATCH(284,Itens!$M$2:$M$501,0))="","",INDEX(Itens!$L$2:$L$501,MATCH(284,Itens!$M$2:$M$501,0))),"")</f>
        <v/>
      </c>
    </row>
    <row r="297">
      <c r="A297" s="17">
        <f>IFERROR(IF(INDEX(Itens!$A$2:$A$501,MATCH(285,Itens!$M$2:$M$501,0))="","",INDEX(Itens!$A$2:$A$501,MATCH(285,Itens!$M$2:$M$501,0))),"")</f>
        <v/>
      </c>
      <c r="B297" s="17">
        <f>IFERROR(IF(INDEX(Itens!$C$2:$C$501,MATCH(285,Itens!$M$2:$M$501,0))="","",INDEX(Itens!$C$2:$C$501,MATCH(285,Itens!$M$2:$M$501,0))),"")</f>
        <v/>
      </c>
      <c r="C297" s="17">
        <f>IFERROR(IF(INDEX(Itens!$E$2:$E$501,MATCH(285,Itens!$M$2:$M$501,0))="","",INDEX(Itens!$E$2:$E$501,MATCH(285,Itens!$M$2:$M$501,0))),"")</f>
        <v/>
      </c>
      <c r="D297" s="17">
        <f>IFERROR(IF(INDEX(Itens!$F$2:$F$501,MATCH(285,Itens!$M$2:$M$501,0))="","",INDEX(Itens!$F$2:$F$501,MATCH(285,Itens!$M$2:$M$501,0))),"")</f>
        <v/>
      </c>
      <c r="E297" s="17">
        <f>IFERROR(IF(INDEX(Itens!$G$2:$G$501,MATCH(285,Itens!$M$2:$M$501,0))="","",INDEX(Itens!$G$2:$G$501,MATCH(285,Itens!$M$2:$M$501,0))),"")</f>
        <v/>
      </c>
      <c r="F297" s="17">
        <f>IFERROR(IF(INDEX(Itens!$I$2:$I$501,MATCH(285,Itens!$M$2:$M$501,0))="","",INDEX(Itens!$I$2:$I$501,MATCH(285,Itens!$M$2:$M$501,0))),"")</f>
        <v/>
      </c>
      <c r="G297" s="17">
        <f>IFERROR(IF(INDEX(Itens!$J$2:$J$501,MATCH(285,Itens!$M$2:$M$501,0))="","",INDEX(Itens!$J$2:$J$501,MATCH(285,Itens!$M$2:$M$501,0))),"")</f>
        <v/>
      </c>
      <c r="H297" s="18">
        <f>IFERROR(IF(INDEX(Itens!$K$2:$K$501,MATCH(285,Itens!$M$2:$M$501,0))="","",INDEX(Itens!$K$2:$K$501,MATCH(285,Itens!$M$2:$M$501,0))),"")</f>
        <v/>
      </c>
      <c r="I297" s="17">
        <f>IFERROR(IF(INDEX(Itens!$L$2:$L$501,MATCH(285,Itens!$M$2:$M$501,0))="","",INDEX(Itens!$L$2:$L$501,MATCH(285,Itens!$M$2:$M$501,0))),"")</f>
        <v/>
      </c>
    </row>
    <row r="298">
      <c r="A298" s="17">
        <f>IFERROR(IF(INDEX(Itens!$A$2:$A$501,MATCH(286,Itens!$M$2:$M$501,0))="","",INDEX(Itens!$A$2:$A$501,MATCH(286,Itens!$M$2:$M$501,0))),"")</f>
        <v/>
      </c>
      <c r="B298" s="17">
        <f>IFERROR(IF(INDEX(Itens!$C$2:$C$501,MATCH(286,Itens!$M$2:$M$501,0))="","",INDEX(Itens!$C$2:$C$501,MATCH(286,Itens!$M$2:$M$501,0))),"")</f>
        <v/>
      </c>
      <c r="C298" s="17">
        <f>IFERROR(IF(INDEX(Itens!$E$2:$E$501,MATCH(286,Itens!$M$2:$M$501,0))="","",INDEX(Itens!$E$2:$E$501,MATCH(286,Itens!$M$2:$M$501,0))),"")</f>
        <v/>
      </c>
      <c r="D298" s="17">
        <f>IFERROR(IF(INDEX(Itens!$F$2:$F$501,MATCH(286,Itens!$M$2:$M$501,0))="","",INDEX(Itens!$F$2:$F$501,MATCH(286,Itens!$M$2:$M$501,0))),"")</f>
        <v/>
      </c>
      <c r="E298" s="17">
        <f>IFERROR(IF(INDEX(Itens!$G$2:$G$501,MATCH(286,Itens!$M$2:$M$501,0))="","",INDEX(Itens!$G$2:$G$501,MATCH(286,Itens!$M$2:$M$501,0))),"")</f>
        <v/>
      </c>
      <c r="F298" s="17">
        <f>IFERROR(IF(INDEX(Itens!$I$2:$I$501,MATCH(286,Itens!$M$2:$M$501,0))="","",INDEX(Itens!$I$2:$I$501,MATCH(286,Itens!$M$2:$M$501,0))),"")</f>
        <v/>
      </c>
      <c r="G298" s="17">
        <f>IFERROR(IF(INDEX(Itens!$J$2:$J$501,MATCH(286,Itens!$M$2:$M$501,0))="","",INDEX(Itens!$J$2:$J$501,MATCH(286,Itens!$M$2:$M$501,0))),"")</f>
        <v/>
      </c>
      <c r="H298" s="18">
        <f>IFERROR(IF(INDEX(Itens!$K$2:$K$501,MATCH(286,Itens!$M$2:$M$501,0))="","",INDEX(Itens!$K$2:$K$501,MATCH(286,Itens!$M$2:$M$501,0))),"")</f>
        <v/>
      </c>
      <c r="I298" s="17">
        <f>IFERROR(IF(INDEX(Itens!$L$2:$L$501,MATCH(286,Itens!$M$2:$M$501,0))="","",INDEX(Itens!$L$2:$L$501,MATCH(286,Itens!$M$2:$M$501,0))),"")</f>
        <v/>
      </c>
    </row>
    <row r="299">
      <c r="A299" s="17">
        <f>IFERROR(IF(INDEX(Itens!$A$2:$A$501,MATCH(287,Itens!$M$2:$M$501,0))="","",INDEX(Itens!$A$2:$A$501,MATCH(287,Itens!$M$2:$M$501,0))),"")</f>
        <v/>
      </c>
      <c r="B299" s="17">
        <f>IFERROR(IF(INDEX(Itens!$C$2:$C$501,MATCH(287,Itens!$M$2:$M$501,0))="","",INDEX(Itens!$C$2:$C$501,MATCH(287,Itens!$M$2:$M$501,0))),"")</f>
        <v/>
      </c>
      <c r="C299" s="17">
        <f>IFERROR(IF(INDEX(Itens!$E$2:$E$501,MATCH(287,Itens!$M$2:$M$501,0))="","",INDEX(Itens!$E$2:$E$501,MATCH(287,Itens!$M$2:$M$501,0))),"")</f>
        <v/>
      </c>
      <c r="D299" s="17">
        <f>IFERROR(IF(INDEX(Itens!$F$2:$F$501,MATCH(287,Itens!$M$2:$M$501,0))="","",INDEX(Itens!$F$2:$F$501,MATCH(287,Itens!$M$2:$M$501,0))),"")</f>
        <v/>
      </c>
      <c r="E299" s="17">
        <f>IFERROR(IF(INDEX(Itens!$G$2:$G$501,MATCH(287,Itens!$M$2:$M$501,0))="","",INDEX(Itens!$G$2:$G$501,MATCH(287,Itens!$M$2:$M$501,0))),"")</f>
        <v/>
      </c>
      <c r="F299" s="17">
        <f>IFERROR(IF(INDEX(Itens!$I$2:$I$501,MATCH(287,Itens!$M$2:$M$501,0))="","",INDEX(Itens!$I$2:$I$501,MATCH(287,Itens!$M$2:$M$501,0))),"")</f>
        <v/>
      </c>
      <c r="G299" s="17">
        <f>IFERROR(IF(INDEX(Itens!$J$2:$J$501,MATCH(287,Itens!$M$2:$M$501,0))="","",INDEX(Itens!$J$2:$J$501,MATCH(287,Itens!$M$2:$M$501,0))),"")</f>
        <v/>
      </c>
      <c r="H299" s="18">
        <f>IFERROR(IF(INDEX(Itens!$K$2:$K$501,MATCH(287,Itens!$M$2:$M$501,0))="","",INDEX(Itens!$K$2:$K$501,MATCH(287,Itens!$M$2:$M$501,0))),"")</f>
        <v/>
      </c>
      <c r="I299" s="17">
        <f>IFERROR(IF(INDEX(Itens!$L$2:$L$501,MATCH(287,Itens!$M$2:$M$501,0))="","",INDEX(Itens!$L$2:$L$501,MATCH(287,Itens!$M$2:$M$501,0))),"")</f>
        <v/>
      </c>
    </row>
    <row r="300">
      <c r="A300" s="17">
        <f>IFERROR(IF(INDEX(Itens!$A$2:$A$501,MATCH(288,Itens!$M$2:$M$501,0))="","",INDEX(Itens!$A$2:$A$501,MATCH(288,Itens!$M$2:$M$501,0))),"")</f>
        <v/>
      </c>
      <c r="B300" s="17">
        <f>IFERROR(IF(INDEX(Itens!$C$2:$C$501,MATCH(288,Itens!$M$2:$M$501,0))="","",INDEX(Itens!$C$2:$C$501,MATCH(288,Itens!$M$2:$M$501,0))),"")</f>
        <v/>
      </c>
      <c r="C300" s="17">
        <f>IFERROR(IF(INDEX(Itens!$E$2:$E$501,MATCH(288,Itens!$M$2:$M$501,0))="","",INDEX(Itens!$E$2:$E$501,MATCH(288,Itens!$M$2:$M$501,0))),"")</f>
        <v/>
      </c>
      <c r="D300" s="17">
        <f>IFERROR(IF(INDEX(Itens!$F$2:$F$501,MATCH(288,Itens!$M$2:$M$501,0))="","",INDEX(Itens!$F$2:$F$501,MATCH(288,Itens!$M$2:$M$501,0))),"")</f>
        <v/>
      </c>
      <c r="E300" s="17">
        <f>IFERROR(IF(INDEX(Itens!$G$2:$G$501,MATCH(288,Itens!$M$2:$M$501,0))="","",INDEX(Itens!$G$2:$G$501,MATCH(288,Itens!$M$2:$M$501,0))),"")</f>
        <v/>
      </c>
      <c r="F300" s="17">
        <f>IFERROR(IF(INDEX(Itens!$I$2:$I$501,MATCH(288,Itens!$M$2:$M$501,0))="","",INDEX(Itens!$I$2:$I$501,MATCH(288,Itens!$M$2:$M$501,0))),"")</f>
        <v/>
      </c>
      <c r="G300" s="17">
        <f>IFERROR(IF(INDEX(Itens!$J$2:$J$501,MATCH(288,Itens!$M$2:$M$501,0))="","",INDEX(Itens!$J$2:$J$501,MATCH(288,Itens!$M$2:$M$501,0))),"")</f>
        <v/>
      </c>
      <c r="H300" s="18">
        <f>IFERROR(IF(INDEX(Itens!$K$2:$K$501,MATCH(288,Itens!$M$2:$M$501,0))="","",INDEX(Itens!$K$2:$K$501,MATCH(288,Itens!$M$2:$M$501,0))),"")</f>
        <v/>
      </c>
      <c r="I300" s="17">
        <f>IFERROR(IF(INDEX(Itens!$L$2:$L$501,MATCH(288,Itens!$M$2:$M$501,0))="","",INDEX(Itens!$L$2:$L$501,MATCH(288,Itens!$M$2:$M$501,0))),"")</f>
        <v/>
      </c>
    </row>
    <row r="301">
      <c r="A301" s="17">
        <f>IFERROR(IF(INDEX(Itens!$A$2:$A$501,MATCH(289,Itens!$M$2:$M$501,0))="","",INDEX(Itens!$A$2:$A$501,MATCH(289,Itens!$M$2:$M$501,0))),"")</f>
        <v/>
      </c>
      <c r="B301" s="17">
        <f>IFERROR(IF(INDEX(Itens!$C$2:$C$501,MATCH(289,Itens!$M$2:$M$501,0))="","",INDEX(Itens!$C$2:$C$501,MATCH(289,Itens!$M$2:$M$501,0))),"")</f>
        <v/>
      </c>
      <c r="C301" s="17">
        <f>IFERROR(IF(INDEX(Itens!$E$2:$E$501,MATCH(289,Itens!$M$2:$M$501,0))="","",INDEX(Itens!$E$2:$E$501,MATCH(289,Itens!$M$2:$M$501,0))),"")</f>
        <v/>
      </c>
      <c r="D301" s="17">
        <f>IFERROR(IF(INDEX(Itens!$F$2:$F$501,MATCH(289,Itens!$M$2:$M$501,0))="","",INDEX(Itens!$F$2:$F$501,MATCH(289,Itens!$M$2:$M$501,0))),"")</f>
        <v/>
      </c>
      <c r="E301" s="17">
        <f>IFERROR(IF(INDEX(Itens!$G$2:$G$501,MATCH(289,Itens!$M$2:$M$501,0))="","",INDEX(Itens!$G$2:$G$501,MATCH(289,Itens!$M$2:$M$501,0))),"")</f>
        <v/>
      </c>
      <c r="F301" s="17">
        <f>IFERROR(IF(INDEX(Itens!$I$2:$I$501,MATCH(289,Itens!$M$2:$M$501,0))="","",INDEX(Itens!$I$2:$I$501,MATCH(289,Itens!$M$2:$M$501,0))),"")</f>
        <v/>
      </c>
      <c r="G301" s="17">
        <f>IFERROR(IF(INDEX(Itens!$J$2:$J$501,MATCH(289,Itens!$M$2:$M$501,0))="","",INDEX(Itens!$J$2:$J$501,MATCH(289,Itens!$M$2:$M$501,0))),"")</f>
        <v/>
      </c>
      <c r="H301" s="18">
        <f>IFERROR(IF(INDEX(Itens!$K$2:$K$501,MATCH(289,Itens!$M$2:$M$501,0))="","",INDEX(Itens!$K$2:$K$501,MATCH(289,Itens!$M$2:$M$501,0))),"")</f>
        <v/>
      </c>
      <c r="I301" s="17">
        <f>IFERROR(IF(INDEX(Itens!$L$2:$L$501,MATCH(289,Itens!$M$2:$M$501,0))="","",INDEX(Itens!$L$2:$L$501,MATCH(289,Itens!$M$2:$M$501,0))),"")</f>
        <v/>
      </c>
    </row>
    <row r="302">
      <c r="A302" s="17">
        <f>IFERROR(IF(INDEX(Itens!$A$2:$A$501,MATCH(290,Itens!$M$2:$M$501,0))="","",INDEX(Itens!$A$2:$A$501,MATCH(290,Itens!$M$2:$M$501,0))),"")</f>
        <v/>
      </c>
      <c r="B302" s="17">
        <f>IFERROR(IF(INDEX(Itens!$C$2:$C$501,MATCH(290,Itens!$M$2:$M$501,0))="","",INDEX(Itens!$C$2:$C$501,MATCH(290,Itens!$M$2:$M$501,0))),"")</f>
        <v/>
      </c>
      <c r="C302" s="17">
        <f>IFERROR(IF(INDEX(Itens!$E$2:$E$501,MATCH(290,Itens!$M$2:$M$501,0))="","",INDEX(Itens!$E$2:$E$501,MATCH(290,Itens!$M$2:$M$501,0))),"")</f>
        <v/>
      </c>
      <c r="D302" s="17">
        <f>IFERROR(IF(INDEX(Itens!$F$2:$F$501,MATCH(290,Itens!$M$2:$M$501,0))="","",INDEX(Itens!$F$2:$F$501,MATCH(290,Itens!$M$2:$M$501,0))),"")</f>
        <v/>
      </c>
      <c r="E302" s="17">
        <f>IFERROR(IF(INDEX(Itens!$G$2:$G$501,MATCH(290,Itens!$M$2:$M$501,0))="","",INDEX(Itens!$G$2:$G$501,MATCH(290,Itens!$M$2:$M$501,0))),"")</f>
        <v/>
      </c>
      <c r="F302" s="17">
        <f>IFERROR(IF(INDEX(Itens!$I$2:$I$501,MATCH(290,Itens!$M$2:$M$501,0))="","",INDEX(Itens!$I$2:$I$501,MATCH(290,Itens!$M$2:$M$501,0))),"")</f>
        <v/>
      </c>
      <c r="G302" s="17">
        <f>IFERROR(IF(INDEX(Itens!$J$2:$J$501,MATCH(290,Itens!$M$2:$M$501,0))="","",INDEX(Itens!$J$2:$J$501,MATCH(290,Itens!$M$2:$M$501,0))),"")</f>
        <v/>
      </c>
      <c r="H302" s="18">
        <f>IFERROR(IF(INDEX(Itens!$K$2:$K$501,MATCH(290,Itens!$M$2:$M$501,0))="","",INDEX(Itens!$K$2:$K$501,MATCH(290,Itens!$M$2:$M$501,0))),"")</f>
        <v/>
      </c>
      <c r="I302" s="17">
        <f>IFERROR(IF(INDEX(Itens!$L$2:$L$501,MATCH(290,Itens!$M$2:$M$501,0))="","",INDEX(Itens!$L$2:$L$501,MATCH(290,Itens!$M$2:$M$501,0))),"")</f>
        <v/>
      </c>
    </row>
    <row r="303">
      <c r="A303" s="17">
        <f>IFERROR(IF(INDEX(Itens!$A$2:$A$501,MATCH(291,Itens!$M$2:$M$501,0))="","",INDEX(Itens!$A$2:$A$501,MATCH(291,Itens!$M$2:$M$501,0))),"")</f>
        <v/>
      </c>
      <c r="B303" s="17">
        <f>IFERROR(IF(INDEX(Itens!$C$2:$C$501,MATCH(291,Itens!$M$2:$M$501,0))="","",INDEX(Itens!$C$2:$C$501,MATCH(291,Itens!$M$2:$M$501,0))),"")</f>
        <v/>
      </c>
      <c r="C303" s="17">
        <f>IFERROR(IF(INDEX(Itens!$E$2:$E$501,MATCH(291,Itens!$M$2:$M$501,0))="","",INDEX(Itens!$E$2:$E$501,MATCH(291,Itens!$M$2:$M$501,0))),"")</f>
        <v/>
      </c>
      <c r="D303" s="17">
        <f>IFERROR(IF(INDEX(Itens!$F$2:$F$501,MATCH(291,Itens!$M$2:$M$501,0))="","",INDEX(Itens!$F$2:$F$501,MATCH(291,Itens!$M$2:$M$501,0))),"")</f>
        <v/>
      </c>
      <c r="E303" s="17">
        <f>IFERROR(IF(INDEX(Itens!$G$2:$G$501,MATCH(291,Itens!$M$2:$M$501,0))="","",INDEX(Itens!$G$2:$G$501,MATCH(291,Itens!$M$2:$M$501,0))),"")</f>
        <v/>
      </c>
      <c r="F303" s="17">
        <f>IFERROR(IF(INDEX(Itens!$I$2:$I$501,MATCH(291,Itens!$M$2:$M$501,0))="","",INDEX(Itens!$I$2:$I$501,MATCH(291,Itens!$M$2:$M$501,0))),"")</f>
        <v/>
      </c>
      <c r="G303" s="17">
        <f>IFERROR(IF(INDEX(Itens!$J$2:$J$501,MATCH(291,Itens!$M$2:$M$501,0))="","",INDEX(Itens!$J$2:$J$501,MATCH(291,Itens!$M$2:$M$501,0))),"")</f>
        <v/>
      </c>
      <c r="H303" s="18">
        <f>IFERROR(IF(INDEX(Itens!$K$2:$K$501,MATCH(291,Itens!$M$2:$M$501,0))="","",INDEX(Itens!$K$2:$K$501,MATCH(291,Itens!$M$2:$M$501,0))),"")</f>
        <v/>
      </c>
      <c r="I303" s="17">
        <f>IFERROR(IF(INDEX(Itens!$L$2:$L$501,MATCH(291,Itens!$M$2:$M$501,0))="","",INDEX(Itens!$L$2:$L$501,MATCH(291,Itens!$M$2:$M$501,0))),"")</f>
        <v/>
      </c>
    </row>
    <row r="304">
      <c r="A304" s="17">
        <f>IFERROR(IF(INDEX(Itens!$A$2:$A$501,MATCH(292,Itens!$M$2:$M$501,0))="","",INDEX(Itens!$A$2:$A$501,MATCH(292,Itens!$M$2:$M$501,0))),"")</f>
        <v/>
      </c>
      <c r="B304" s="17">
        <f>IFERROR(IF(INDEX(Itens!$C$2:$C$501,MATCH(292,Itens!$M$2:$M$501,0))="","",INDEX(Itens!$C$2:$C$501,MATCH(292,Itens!$M$2:$M$501,0))),"")</f>
        <v/>
      </c>
      <c r="C304" s="17">
        <f>IFERROR(IF(INDEX(Itens!$E$2:$E$501,MATCH(292,Itens!$M$2:$M$501,0))="","",INDEX(Itens!$E$2:$E$501,MATCH(292,Itens!$M$2:$M$501,0))),"")</f>
        <v/>
      </c>
      <c r="D304" s="17">
        <f>IFERROR(IF(INDEX(Itens!$F$2:$F$501,MATCH(292,Itens!$M$2:$M$501,0))="","",INDEX(Itens!$F$2:$F$501,MATCH(292,Itens!$M$2:$M$501,0))),"")</f>
        <v/>
      </c>
      <c r="E304" s="17">
        <f>IFERROR(IF(INDEX(Itens!$G$2:$G$501,MATCH(292,Itens!$M$2:$M$501,0))="","",INDEX(Itens!$G$2:$G$501,MATCH(292,Itens!$M$2:$M$501,0))),"")</f>
        <v/>
      </c>
      <c r="F304" s="17">
        <f>IFERROR(IF(INDEX(Itens!$I$2:$I$501,MATCH(292,Itens!$M$2:$M$501,0))="","",INDEX(Itens!$I$2:$I$501,MATCH(292,Itens!$M$2:$M$501,0))),"")</f>
        <v/>
      </c>
      <c r="G304" s="17">
        <f>IFERROR(IF(INDEX(Itens!$J$2:$J$501,MATCH(292,Itens!$M$2:$M$501,0))="","",INDEX(Itens!$J$2:$J$501,MATCH(292,Itens!$M$2:$M$501,0))),"")</f>
        <v/>
      </c>
      <c r="H304" s="18">
        <f>IFERROR(IF(INDEX(Itens!$K$2:$K$501,MATCH(292,Itens!$M$2:$M$501,0))="","",INDEX(Itens!$K$2:$K$501,MATCH(292,Itens!$M$2:$M$501,0))),"")</f>
        <v/>
      </c>
      <c r="I304" s="17">
        <f>IFERROR(IF(INDEX(Itens!$L$2:$L$501,MATCH(292,Itens!$M$2:$M$501,0))="","",INDEX(Itens!$L$2:$L$501,MATCH(292,Itens!$M$2:$M$501,0))),"")</f>
        <v/>
      </c>
    </row>
    <row r="305">
      <c r="A305" s="17">
        <f>IFERROR(IF(INDEX(Itens!$A$2:$A$501,MATCH(293,Itens!$M$2:$M$501,0))="","",INDEX(Itens!$A$2:$A$501,MATCH(293,Itens!$M$2:$M$501,0))),"")</f>
        <v/>
      </c>
      <c r="B305" s="17">
        <f>IFERROR(IF(INDEX(Itens!$C$2:$C$501,MATCH(293,Itens!$M$2:$M$501,0))="","",INDEX(Itens!$C$2:$C$501,MATCH(293,Itens!$M$2:$M$501,0))),"")</f>
        <v/>
      </c>
      <c r="C305" s="17">
        <f>IFERROR(IF(INDEX(Itens!$E$2:$E$501,MATCH(293,Itens!$M$2:$M$501,0))="","",INDEX(Itens!$E$2:$E$501,MATCH(293,Itens!$M$2:$M$501,0))),"")</f>
        <v/>
      </c>
      <c r="D305" s="17">
        <f>IFERROR(IF(INDEX(Itens!$F$2:$F$501,MATCH(293,Itens!$M$2:$M$501,0))="","",INDEX(Itens!$F$2:$F$501,MATCH(293,Itens!$M$2:$M$501,0))),"")</f>
        <v/>
      </c>
      <c r="E305" s="17">
        <f>IFERROR(IF(INDEX(Itens!$G$2:$G$501,MATCH(293,Itens!$M$2:$M$501,0))="","",INDEX(Itens!$G$2:$G$501,MATCH(293,Itens!$M$2:$M$501,0))),"")</f>
        <v/>
      </c>
      <c r="F305" s="17">
        <f>IFERROR(IF(INDEX(Itens!$I$2:$I$501,MATCH(293,Itens!$M$2:$M$501,0))="","",INDEX(Itens!$I$2:$I$501,MATCH(293,Itens!$M$2:$M$501,0))),"")</f>
        <v/>
      </c>
      <c r="G305" s="17">
        <f>IFERROR(IF(INDEX(Itens!$J$2:$J$501,MATCH(293,Itens!$M$2:$M$501,0))="","",INDEX(Itens!$J$2:$J$501,MATCH(293,Itens!$M$2:$M$501,0))),"")</f>
        <v/>
      </c>
      <c r="H305" s="18">
        <f>IFERROR(IF(INDEX(Itens!$K$2:$K$501,MATCH(293,Itens!$M$2:$M$501,0))="","",INDEX(Itens!$K$2:$K$501,MATCH(293,Itens!$M$2:$M$501,0))),"")</f>
        <v/>
      </c>
      <c r="I305" s="17">
        <f>IFERROR(IF(INDEX(Itens!$L$2:$L$501,MATCH(293,Itens!$M$2:$M$501,0))="","",INDEX(Itens!$L$2:$L$501,MATCH(293,Itens!$M$2:$M$501,0))),"")</f>
        <v/>
      </c>
    </row>
    <row r="306">
      <c r="A306" s="17">
        <f>IFERROR(IF(INDEX(Itens!$A$2:$A$501,MATCH(294,Itens!$M$2:$M$501,0))="","",INDEX(Itens!$A$2:$A$501,MATCH(294,Itens!$M$2:$M$501,0))),"")</f>
        <v/>
      </c>
      <c r="B306" s="17">
        <f>IFERROR(IF(INDEX(Itens!$C$2:$C$501,MATCH(294,Itens!$M$2:$M$501,0))="","",INDEX(Itens!$C$2:$C$501,MATCH(294,Itens!$M$2:$M$501,0))),"")</f>
        <v/>
      </c>
      <c r="C306" s="17">
        <f>IFERROR(IF(INDEX(Itens!$E$2:$E$501,MATCH(294,Itens!$M$2:$M$501,0))="","",INDEX(Itens!$E$2:$E$501,MATCH(294,Itens!$M$2:$M$501,0))),"")</f>
        <v/>
      </c>
      <c r="D306" s="17">
        <f>IFERROR(IF(INDEX(Itens!$F$2:$F$501,MATCH(294,Itens!$M$2:$M$501,0))="","",INDEX(Itens!$F$2:$F$501,MATCH(294,Itens!$M$2:$M$501,0))),"")</f>
        <v/>
      </c>
      <c r="E306" s="17">
        <f>IFERROR(IF(INDEX(Itens!$G$2:$G$501,MATCH(294,Itens!$M$2:$M$501,0))="","",INDEX(Itens!$G$2:$G$501,MATCH(294,Itens!$M$2:$M$501,0))),"")</f>
        <v/>
      </c>
      <c r="F306" s="17">
        <f>IFERROR(IF(INDEX(Itens!$I$2:$I$501,MATCH(294,Itens!$M$2:$M$501,0))="","",INDEX(Itens!$I$2:$I$501,MATCH(294,Itens!$M$2:$M$501,0))),"")</f>
        <v/>
      </c>
      <c r="G306" s="17">
        <f>IFERROR(IF(INDEX(Itens!$J$2:$J$501,MATCH(294,Itens!$M$2:$M$501,0))="","",INDEX(Itens!$J$2:$J$501,MATCH(294,Itens!$M$2:$M$501,0))),"")</f>
        <v/>
      </c>
      <c r="H306" s="18">
        <f>IFERROR(IF(INDEX(Itens!$K$2:$K$501,MATCH(294,Itens!$M$2:$M$501,0))="","",INDEX(Itens!$K$2:$K$501,MATCH(294,Itens!$M$2:$M$501,0))),"")</f>
        <v/>
      </c>
      <c r="I306" s="17">
        <f>IFERROR(IF(INDEX(Itens!$L$2:$L$501,MATCH(294,Itens!$M$2:$M$501,0))="","",INDEX(Itens!$L$2:$L$501,MATCH(294,Itens!$M$2:$M$501,0))),"")</f>
        <v/>
      </c>
    </row>
    <row r="307">
      <c r="A307" s="17">
        <f>IFERROR(IF(INDEX(Itens!$A$2:$A$501,MATCH(295,Itens!$M$2:$M$501,0))="","",INDEX(Itens!$A$2:$A$501,MATCH(295,Itens!$M$2:$M$501,0))),"")</f>
        <v/>
      </c>
      <c r="B307" s="17">
        <f>IFERROR(IF(INDEX(Itens!$C$2:$C$501,MATCH(295,Itens!$M$2:$M$501,0))="","",INDEX(Itens!$C$2:$C$501,MATCH(295,Itens!$M$2:$M$501,0))),"")</f>
        <v/>
      </c>
      <c r="C307" s="17">
        <f>IFERROR(IF(INDEX(Itens!$E$2:$E$501,MATCH(295,Itens!$M$2:$M$501,0))="","",INDEX(Itens!$E$2:$E$501,MATCH(295,Itens!$M$2:$M$501,0))),"")</f>
        <v/>
      </c>
      <c r="D307" s="17">
        <f>IFERROR(IF(INDEX(Itens!$F$2:$F$501,MATCH(295,Itens!$M$2:$M$501,0))="","",INDEX(Itens!$F$2:$F$501,MATCH(295,Itens!$M$2:$M$501,0))),"")</f>
        <v/>
      </c>
      <c r="E307" s="17">
        <f>IFERROR(IF(INDEX(Itens!$G$2:$G$501,MATCH(295,Itens!$M$2:$M$501,0))="","",INDEX(Itens!$G$2:$G$501,MATCH(295,Itens!$M$2:$M$501,0))),"")</f>
        <v/>
      </c>
      <c r="F307" s="17">
        <f>IFERROR(IF(INDEX(Itens!$I$2:$I$501,MATCH(295,Itens!$M$2:$M$501,0))="","",INDEX(Itens!$I$2:$I$501,MATCH(295,Itens!$M$2:$M$501,0))),"")</f>
        <v/>
      </c>
      <c r="G307" s="17">
        <f>IFERROR(IF(INDEX(Itens!$J$2:$J$501,MATCH(295,Itens!$M$2:$M$501,0))="","",INDEX(Itens!$J$2:$J$501,MATCH(295,Itens!$M$2:$M$501,0))),"")</f>
        <v/>
      </c>
      <c r="H307" s="18">
        <f>IFERROR(IF(INDEX(Itens!$K$2:$K$501,MATCH(295,Itens!$M$2:$M$501,0))="","",INDEX(Itens!$K$2:$K$501,MATCH(295,Itens!$M$2:$M$501,0))),"")</f>
        <v/>
      </c>
      <c r="I307" s="17">
        <f>IFERROR(IF(INDEX(Itens!$L$2:$L$501,MATCH(295,Itens!$M$2:$M$501,0))="","",INDEX(Itens!$L$2:$L$501,MATCH(295,Itens!$M$2:$M$501,0))),"")</f>
        <v/>
      </c>
    </row>
    <row r="308">
      <c r="A308" s="17">
        <f>IFERROR(IF(INDEX(Itens!$A$2:$A$501,MATCH(296,Itens!$M$2:$M$501,0))="","",INDEX(Itens!$A$2:$A$501,MATCH(296,Itens!$M$2:$M$501,0))),"")</f>
        <v/>
      </c>
      <c r="B308" s="17">
        <f>IFERROR(IF(INDEX(Itens!$C$2:$C$501,MATCH(296,Itens!$M$2:$M$501,0))="","",INDEX(Itens!$C$2:$C$501,MATCH(296,Itens!$M$2:$M$501,0))),"")</f>
        <v/>
      </c>
      <c r="C308" s="17">
        <f>IFERROR(IF(INDEX(Itens!$E$2:$E$501,MATCH(296,Itens!$M$2:$M$501,0))="","",INDEX(Itens!$E$2:$E$501,MATCH(296,Itens!$M$2:$M$501,0))),"")</f>
        <v/>
      </c>
      <c r="D308" s="17">
        <f>IFERROR(IF(INDEX(Itens!$F$2:$F$501,MATCH(296,Itens!$M$2:$M$501,0))="","",INDEX(Itens!$F$2:$F$501,MATCH(296,Itens!$M$2:$M$501,0))),"")</f>
        <v/>
      </c>
      <c r="E308" s="17">
        <f>IFERROR(IF(INDEX(Itens!$G$2:$G$501,MATCH(296,Itens!$M$2:$M$501,0))="","",INDEX(Itens!$G$2:$G$501,MATCH(296,Itens!$M$2:$M$501,0))),"")</f>
        <v/>
      </c>
      <c r="F308" s="17">
        <f>IFERROR(IF(INDEX(Itens!$I$2:$I$501,MATCH(296,Itens!$M$2:$M$501,0))="","",INDEX(Itens!$I$2:$I$501,MATCH(296,Itens!$M$2:$M$501,0))),"")</f>
        <v/>
      </c>
      <c r="G308" s="17">
        <f>IFERROR(IF(INDEX(Itens!$J$2:$J$501,MATCH(296,Itens!$M$2:$M$501,0))="","",INDEX(Itens!$J$2:$J$501,MATCH(296,Itens!$M$2:$M$501,0))),"")</f>
        <v/>
      </c>
      <c r="H308" s="18">
        <f>IFERROR(IF(INDEX(Itens!$K$2:$K$501,MATCH(296,Itens!$M$2:$M$501,0))="","",INDEX(Itens!$K$2:$K$501,MATCH(296,Itens!$M$2:$M$501,0))),"")</f>
        <v/>
      </c>
      <c r="I308" s="17">
        <f>IFERROR(IF(INDEX(Itens!$L$2:$L$501,MATCH(296,Itens!$M$2:$M$501,0))="","",INDEX(Itens!$L$2:$L$501,MATCH(296,Itens!$M$2:$M$501,0))),"")</f>
        <v/>
      </c>
    </row>
    <row r="309">
      <c r="A309" s="17">
        <f>IFERROR(IF(INDEX(Itens!$A$2:$A$501,MATCH(297,Itens!$M$2:$M$501,0))="","",INDEX(Itens!$A$2:$A$501,MATCH(297,Itens!$M$2:$M$501,0))),"")</f>
        <v/>
      </c>
      <c r="B309" s="17">
        <f>IFERROR(IF(INDEX(Itens!$C$2:$C$501,MATCH(297,Itens!$M$2:$M$501,0))="","",INDEX(Itens!$C$2:$C$501,MATCH(297,Itens!$M$2:$M$501,0))),"")</f>
        <v/>
      </c>
      <c r="C309" s="17">
        <f>IFERROR(IF(INDEX(Itens!$E$2:$E$501,MATCH(297,Itens!$M$2:$M$501,0))="","",INDEX(Itens!$E$2:$E$501,MATCH(297,Itens!$M$2:$M$501,0))),"")</f>
        <v/>
      </c>
      <c r="D309" s="17">
        <f>IFERROR(IF(INDEX(Itens!$F$2:$F$501,MATCH(297,Itens!$M$2:$M$501,0))="","",INDEX(Itens!$F$2:$F$501,MATCH(297,Itens!$M$2:$M$501,0))),"")</f>
        <v/>
      </c>
      <c r="E309" s="17">
        <f>IFERROR(IF(INDEX(Itens!$G$2:$G$501,MATCH(297,Itens!$M$2:$M$501,0))="","",INDEX(Itens!$G$2:$G$501,MATCH(297,Itens!$M$2:$M$501,0))),"")</f>
        <v/>
      </c>
      <c r="F309" s="17">
        <f>IFERROR(IF(INDEX(Itens!$I$2:$I$501,MATCH(297,Itens!$M$2:$M$501,0))="","",INDEX(Itens!$I$2:$I$501,MATCH(297,Itens!$M$2:$M$501,0))),"")</f>
        <v/>
      </c>
      <c r="G309" s="17">
        <f>IFERROR(IF(INDEX(Itens!$J$2:$J$501,MATCH(297,Itens!$M$2:$M$501,0))="","",INDEX(Itens!$J$2:$J$501,MATCH(297,Itens!$M$2:$M$501,0))),"")</f>
        <v/>
      </c>
      <c r="H309" s="18">
        <f>IFERROR(IF(INDEX(Itens!$K$2:$K$501,MATCH(297,Itens!$M$2:$M$501,0))="","",INDEX(Itens!$K$2:$K$501,MATCH(297,Itens!$M$2:$M$501,0))),"")</f>
        <v/>
      </c>
      <c r="I309" s="17">
        <f>IFERROR(IF(INDEX(Itens!$L$2:$L$501,MATCH(297,Itens!$M$2:$M$501,0))="","",INDEX(Itens!$L$2:$L$501,MATCH(297,Itens!$M$2:$M$501,0))),"")</f>
        <v/>
      </c>
    </row>
    <row r="310">
      <c r="A310" s="17">
        <f>IFERROR(IF(INDEX(Itens!$A$2:$A$501,MATCH(298,Itens!$M$2:$M$501,0))="","",INDEX(Itens!$A$2:$A$501,MATCH(298,Itens!$M$2:$M$501,0))),"")</f>
        <v/>
      </c>
      <c r="B310" s="17">
        <f>IFERROR(IF(INDEX(Itens!$C$2:$C$501,MATCH(298,Itens!$M$2:$M$501,0))="","",INDEX(Itens!$C$2:$C$501,MATCH(298,Itens!$M$2:$M$501,0))),"")</f>
        <v/>
      </c>
      <c r="C310" s="17">
        <f>IFERROR(IF(INDEX(Itens!$E$2:$E$501,MATCH(298,Itens!$M$2:$M$501,0))="","",INDEX(Itens!$E$2:$E$501,MATCH(298,Itens!$M$2:$M$501,0))),"")</f>
        <v/>
      </c>
      <c r="D310" s="17">
        <f>IFERROR(IF(INDEX(Itens!$F$2:$F$501,MATCH(298,Itens!$M$2:$M$501,0))="","",INDEX(Itens!$F$2:$F$501,MATCH(298,Itens!$M$2:$M$501,0))),"")</f>
        <v/>
      </c>
      <c r="E310" s="17">
        <f>IFERROR(IF(INDEX(Itens!$G$2:$G$501,MATCH(298,Itens!$M$2:$M$501,0))="","",INDEX(Itens!$G$2:$G$501,MATCH(298,Itens!$M$2:$M$501,0))),"")</f>
        <v/>
      </c>
      <c r="F310" s="17">
        <f>IFERROR(IF(INDEX(Itens!$I$2:$I$501,MATCH(298,Itens!$M$2:$M$501,0))="","",INDEX(Itens!$I$2:$I$501,MATCH(298,Itens!$M$2:$M$501,0))),"")</f>
        <v/>
      </c>
      <c r="G310" s="17">
        <f>IFERROR(IF(INDEX(Itens!$J$2:$J$501,MATCH(298,Itens!$M$2:$M$501,0))="","",INDEX(Itens!$J$2:$J$501,MATCH(298,Itens!$M$2:$M$501,0))),"")</f>
        <v/>
      </c>
      <c r="H310" s="18">
        <f>IFERROR(IF(INDEX(Itens!$K$2:$K$501,MATCH(298,Itens!$M$2:$M$501,0))="","",INDEX(Itens!$K$2:$K$501,MATCH(298,Itens!$M$2:$M$501,0))),"")</f>
        <v/>
      </c>
      <c r="I310" s="17">
        <f>IFERROR(IF(INDEX(Itens!$L$2:$L$501,MATCH(298,Itens!$M$2:$M$501,0))="","",INDEX(Itens!$L$2:$L$501,MATCH(298,Itens!$M$2:$M$501,0))),"")</f>
        <v/>
      </c>
    </row>
    <row r="311">
      <c r="A311" s="17">
        <f>IFERROR(IF(INDEX(Itens!$A$2:$A$501,MATCH(299,Itens!$M$2:$M$501,0))="","",INDEX(Itens!$A$2:$A$501,MATCH(299,Itens!$M$2:$M$501,0))),"")</f>
        <v/>
      </c>
      <c r="B311" s="17">
        <f>IFERROR(IF(INDEX(Itens!$C$2:$C$501,MATCH(299,Itens!$M$2:$M$501,0))="","",INDEX(Itens!$C$2:$C$501,MATCH(299,Itens!$M$2:$M$501,0))),"")</f>
        <v/>
      </c>
      <c r="C311" s="17">
        <f>IFERROR(IF(INDEX(Itens!$E$2:$E$501,MATCH(299,Itens!$M$2:$M$501,0))="","",INDEX(Itens!$E$2:$E$501,MATCH(299,Itens!$M$2:$M$501,0))),"")</f>
        <v/>
      </c>
      <c r="D311" s="17">
        <f>IFERROR(IF(INDEX(Itens!$F$2:$F$501,MATCH(299,Itens!$M$2:$M$501,0))="","",INDEX(Itens!$F$2:$F$501,MATCH(299,Itens!$M$2:$M$501,0))),"")</f>
        <v/>
      </c>
      <c r="E311" s="17">
        <f>IFERROR(IF(INDEX(Itens!$G$2:$G$501,MATCH(299,Itens!$M$2:$M$501,0))="","",INDEX(Itens!$G$2:$G$501,MATCH(299,Itens!$M$2:$M$501,0))),"")</f>
        <v/>
      </c>
      <c r="F311" s="17">
        <f>IFERROR(IF(INDEX(Itens!$I$2:$I$501,MATCH(299,Itens!$M$2:$M$501,0))="","",INDEX(Itens!$I$2:$I$501,MATCH(299,Itens!$M$2:$M$501,0))),"")</f>
        <v/>
      </c>
      <c r="G311" s="17">
        <f>IFERROR(IF(INDEX(Itens!$J$2:$J$501,MATCH(299,Itens!$M$2:$M$501,0))="","",INDEX(Itens!$J$2:$J$501,MATCH(299,Itens!$M$2:$M$501,0))),"")</f>
        <v/>
      </c>
      <c r="H311" s="18">
        <f>IFERROR(IF(INDEX(Itens!$K$2:$K$501,MATCH(299,Itens!$M$2:$M$501,0))="","",INDEX(Itens!$K$2:$K$501,MATCH(299,Itens!$M$2:$M$501,0))),"")</f>
        <v/>
      </c>
      <c r="I311" s="17">
        <f>IFERROR(IF(INDEX(Itens!$L$2:$L$501,MATCH(299,Itens!$M$2:$M$501,0))="","",INDEX(Itens!$L$2:$L$501,MATCH(299,Itens!$M$2:$M$501,0))),"")</f>
        <v/>
      </c>
    </row>
    <row r="312">
      <c r="A312" s="17">
        <f>IFERROR(IF(INDEX(Itens!$A$2:$A$501,MATCH(300,Itens!$M$2:$M$501,0))="","",INDEX(Itens!$A$2:$A$501,MATCH(300,Itens!$M$2:$M$501,0))),"")</f>
        <v/>
      </c>
      <c r="B312" s="17">
        <f>IFERROR(IF(INDEX(Itens!$C$2:$C$501,MATCH(300,Itens!$M$2:$M$501,0))="","",INDEX(Itens!$C$2:$C$501,MATCH(300,Itens!$M$2:$M$501,0))),"")</f>
        <v/>
      </c>
      <c r="C312" s="17">
        <f>IFERROR(IF(INDEX(Itens!$E$2:$E$501,MATCH(300,Itens!$M$2:$M$501,0))="","",INDEX(Itens!$E$2:$E$501,MATCH(300,Itens!$M$2:$M$501,0))),"")</f>
        <v/>
      </c>
      <c r="D312" s="17">
        <f>IFERROR(IF(INDEX(Itens!$F$2:$F$501,MATCH(300,Itens!$M$2:$M$501,0))="","",INDEX(Itens!$F$2:$F$501,MATCH(300,Itens!$M$2:$M$501,0))),"")</f>
        <v/>
      </c>
      <c r="E312" s="17">
        <f>IFERROR(IF(INDEX(Itens!$G$2:$G$501,MATCH(300,Itens!$M$2:$M$501,0))="","",INDEX(Itens!$G$2:$G$501,MATCH(300,Itens!$M$2:$M$501,0))),"")</f>
        <v/>
      </c>
      <c r="F312" s="17">
        <f>IFERROR(IF(INDEX(Itens!$I$2:$I$501,MATCH(300,Itens!$M$2:$M$501,0))="","",INDEX(Itens!$I$2:$I$501,MATCH(300,Itens!$M$2:$M$501,0))),"")</f>
        <v/>
      </c>
      <c r="G312" s="17">
        <f>IFERROR(IF(INDEX(Itens!$J$2:$J$501,MATCH(300,Itens!$M$2:$M$501,0))="","",INDEX(Itens!$J$2:$J$501,MATCH(300,Itens!$M$2:$M$501,0))),"")</f>
        <v/>
      </c>
      <c r="H312" s="18">
        <f>IFERROR(IF(INDEX(Itens!$K$2:$K$501,MATCH(300,Itens!$M$2:$M$501,0))="","",INDEX(Itens!$K$2:$K$501,MATCH(300,Itens!$M$2:$M$501,0))),"")</f>
        <v/>
      </c>
      <c r="I312" s="17">
        <f>IFERROR(IF(INDEX(Itens!$L$2:$L$501,MATCH(300,Itens!$M$2:$M$501,0))="","",INDEX(Itens!$L$2:$L$501,MATCH(300,Itens!$M$2:$M$501,0))),"")</f>
        <v/>
      </c>
    </row>
  </sheetData>
  <autoFilter ref="A12:I312"/>
  <conditionalFormatting sqref="D13:D312">
    <cfRule type="cellIs" priority="1" operator="equal" dxfId="0">
      <formula>"Assessoria SST"</formula>
    </cfRule>
    <cfRule type="cellIs" priority="2" operator="equal" dxfId="1">
      <formula>"Empresa – RH/DP"</formula>
    </cfRule>
    <cfRule type="cellIs" priority="3" operator="equal" dxfId="2">
      <formula>"Empresa – Financeiro"</formula>
    </cfRule>
    <cfRule type="cellIs" priority="4" operator="equal" dxfId="3">
      <formula>"Empresa – Operação/Manutenção"</formula>
    </cfRule>
    <cfRule type="cellIs" priority="5" operator="equal" dxfId="4">
      <formula>"Compartilhado (Empresa + SST)"</formula>
    </cfRule>
  </conditionalFormatting>
  <conditionalFormatting sqref="F13:F312">
    <cfRule type="cellIs" priority="6" operator="equal" dxfId="5">
      <formula>"Entregue"</formula>
    </cfRule>
    <cfRule type="cellIs" priority="7" operator="equal" dxfId="6">
      <formula>"Pendente"</formula>
    </cfRule>
    <cfRule type="cellIs" priority="8" operator="equal" dxfId="7">
      <formula>"A confirmar"</formula>
    </cfRule>
  </conditionalFormatting>
  <dataValidations count="1">
    <dataValidation sqref="B2" showDropDown="0" showInputMessage="0" showErrorMessage="0" allowBlank="0" type="list">
      <formula1>=Painel!$G$13:$G$32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1" customWidth="1" min="3" max="3"/>
    <col width="28" customWidth="1" min="4" max="4"/>
    <col width="30" customWidth="1" min="5" max="5"/>
    <col width="15" customWidth="1" min="6" max="6"/>
    <col width="12" customWidth="1" min="7" max="7"/>
    <col width="14" customWidth="1" min="8" max="8"/>
    <col hidden="1" width="10" customWidth="1" min="9" max="9"/>
  </cols>
  <sheetData>
    <row r="1" ht="32" customHeight="1">
      <c r="A1" s="4" t="inlineStr">
        <is>
          <t>Código</t>
        </is>
      </c>
      <c r="B1" s="4" t="inlineStr">
        <is>
          <t>Documento padrão</t>
        </is>
      </c>
      <c r="C1" s="4" t="inlineStr">
        <is>
          <t>Área</t>
        </is>
      </c>
      <c r="D1" s="4" t="inlineStr">
        <is>
          <t>Responsável</t>
        </is>
      </c>
      <c r="E1" s="4" t="inlineStr">
        <is>
          <t>Base legal</t>
        </is>
      </c>
      <c r="F1" s="4" t="inlineStr">
        <is>
          <t>Nº de notificações que pediram</t>
        </is>
      </c>
      <c r="G1" s="4" t="inlineStr">
        <is>
          <t>Nº total de itens</t>
        </is>
      </c>
      <c r="H1" s="4" t="inlineStr">
        <is>
          <t>Pendentes / a confirmar</t>
        </is>
      </c>
      <c r="I1" s="4" t="inlineStr">
        <is>
          <t>_chave ranking</t>
        </is>
      </c>
    </row>
    <row r="2">
      <c r="A2" s="17" t="inlineStr">
        <is>
          <t>PGR</t>
        </is>
      </c>
      <c r="B2" s="17" t="inlineStr">
        <is>
          <t>PGR – inventário de riscos e plano de ação (por estabelecimento)</t>
        </is>
      </c>
      <c r="C2" s="17" t="inlineStr">
        <is>
          <t>SST</t>
        </is>
      </c>
      <c r="D2" s="19" t="inlineStr">
        <is>
          <t>Assessoria SST</t>
        </is>
      </c>
      <c r="E2" s="17" t="inlineStr">
        <is>
          <t>NR-01</t>
        </is>
      </c>
      <c r="F2" s="17">
        <f>SUMIFS(Itens!$H:$H,Itens!$D:$D,A2)</f>
        <v/>
      </c>
      <c r="G2" s="17">
        <f>COUNTIF(Itens!$D:$D,A2)</f>
        <v/>
      </c>
      <c r="H2" s="17">
        <f>COUNTIFS(Itens!$D:$D,A2,Itens!$I:$I,"Pendente")+COUNTIFS(Itens!$D:$D,A2,Itens!$I:$I,"Em andamento")+COUNTIFS(Itens!$D:$D,A2,Itens!$I:$I,"A confirmar")</f>
        <v/>
      </c>
      <c r="I2" s="17">
        <f>F2+G2/1000+(1000-ROW())/1000000</f>
        <v/>
      </c>
    </row>
    <row r="3">
      <c r="A3" s="17" t="inlineStr">
        <is>
          <t>PCMSO</t>
        </is>
      </c>
      <c r="B3" s="17" t="inlineStr">
        <is>
          <t>PCMSO + relatório analítico</t>
        </is>
      </c>
      <c r="C3" s="17" t="inlineStr">
        <is>
          <t>SST</t>
        </is>
      </c>
      <c r="D3" s="19" t="inlineStr">
        <is>
          <t>Assessoria SST</t>
        </is>
      </c>
      <c r="E3" s="17" t="inlineStr">
        <is>
          <t>NR-07</t>
        </is>
      </c>
      <c r="F3" s="17">
        <f>SUMIFS(Itens!$H:$H,Itens!$D:$D,A3)</f>
        <v/>
      </c>
      <c r="G3" s="17">
        <f>COUNTIF(Itens!$D:$D,A3)</f>
        <v/>
      </c>
      <c r="H3" s="17">
        <f>COUNTIFS(Itens!$D:$D,A3,Itens!$I:$I,"Pendente")+COUNTIFS(Itens!$D:$D,A3,Itens!$I:$I,"Em andamento")+COUNTIFS(Itens!$D:$D,A3,Itens!$I:$I,"A confirmar")</f>
        <v/>
      </c>
      <c r="I3" s="17">
        <f>F3+G3/1000+(1000-ROW())/1000000</f>
        <v/>
      </c>
    </row>
    <row r="4">
      <c r="A4" s="17" t="inlineStr">
        <is>
          <t>ASO</t>
        </is>
      </c>
      <c r="B4" s="17" t="inlineStr">
        <is>
          <t>ASOs (admissional, periódico, retorno, mudança de risco, demissional)</t>
        </is>
      </c>
      <c r="C4" s="17" t="inlineStr">
        <is>
          <t>SST</t>
        </is>
      </c>
      <c r="D4" s="19" t="inlineStr">
        <is>
          <t>Assessoria SST</t>
        </is>
      </c>
      <c r="E4" s="17" t="inlineStr">
        <is>
          <t>NR-07</t>
        </is>
      </c>
      <c r="F4" s="17">
        <f>SUMIFS(Itens!$H:$H,Itens!$D:$D,A4)</f>
        <v/>
      </c>
      <c r="G4" s="17">
        <f>COUNTIF(Itens!$D:$D,A4)</f>
        <v/>
      </c>
      <c r="H4" s="17">
        <f>COUNTIFS(Itens!$D:$D,A4,Itens!$I:$I,"Pendente")+COUNTIFS(Itens!$D:$D,A4,Itens!$I:$I,"Em andamento")+COUNTIFS(Itens!$D:$D,A4,Itens!$I:$I,"A confirmar")</f>
        <v/>
      </c>
      <c r="I4" s="17">
        <f>F4+G4/1000+(1000-ROW())/1000000</f>
        <v/>
      </c>
    </row>
    <row r="5">
      <c r="A5" s="17" t="inlineStr">
        <is>
          <t>EPI</t>
        </is>
      </c>
      <c r="B5" s="17" t="inlineStr">
        <is>
          <t>Fichas de entrega de EPI com CA válido (e comprovante de compra)</t>
        </is>
      </c>
      <c r="C5" s="17" t="inlineStr">
        <is>
          <t>SST</t>
        </is>
      </c>
      <c r="D5" s="20" t="inlineStr">
        <is>
          <t>Compartilhado (Empresa + SST)</t>
        </is>
      </c>
      <c r="E5" s="17" t="inlineStr">
        <is>
          <t>NR-06</t>
        </is>
      </c>
      <c r="F5" s="17">
        <f>SUMIFS(Itens!$H:$H,Itens!$D:$D,A5)</f>
        <v/>
      </c>
      <c r="G5" s="17">
        <f>COUNTIF(Itens!$D:$D,A5)</f>
        <v/>
      </c>
      <c r="H5" s="17">
        <f>COUNTIFS(Itens!$D:$D,A5,Itens!$I:$I,"Pendente")+COUNTIFS(Itens!$D:$D,A5,Itens!$I:$I,"Em andamento")+COUNTIFS(Itens!$D:$D,A5,Itens!$I:$I,"A confirmar")</f>
        <v/>
      </c>
      <c r="I5" s="17">
        <f>F5+G5/1000+(1000-ROW())/1000000</f>
        <v/>
      </c>
    </row>
    <row r="6">
      <c r="A6" s="17" t="inlineStr">
        <is>
          <t>CIPA</t>
        </is>
      </c>
      <c r="B6" s="17" t="inlineStr">
        <is>
          <t>CIPA – edital, eleição, posse, calendário, atas e treinamento</t>
        </is>
      </c>
      <c r="C6" s="17" t="inlineStr">
        <is>
          <t>SST</t>
        </is>
      </c>
      <c r="D6" s="20" t="inlineStr">
        <is>
          <t>Compartilhado (Empresa + SST)</t>
        </is>
      </c>
      <c r="E6" s="17" t="inlineStr">
        <is>
          <t>NR-05</t>
        </is>
      </c>
      <c r="F6" s="17">
        <f>SUMIFS(Itens!$H:$H,Itens!$D:$D,A6)</f>
        <v/>
      </c>
      <c r="G6" s="17">
        <f>COUNTIF(Itens!$D:$D,A6)</f>
        <v/>
      </c>
      <c r="H6" s="17">
        <f>COUNTIFS(Itens!$D:$D,A6,Itens!$I:$I,"Pendente")+COUNTIFS(Itens!$D:$D,A6,Itens!$I:$I,"Em andamento")+COUNTIFS(Itens!$D:$D,A6,Itens!$I:$I,"A confirmar")</f>
        <v/>
      </c>
      <c r="I6" s="17">
        <f>F6+G6/1000+(1000-ROW())/1000000</f>
        <v/>
      </c>
    </row>
    <row r="7">
      <c r="A7" s="17" t="inlineStr">
        <is>
          <t>NR05-DESIG</t>
        </is>
      </c>
      <c r="B7" s="17" t="inlineStr">
        <is>
          <t>Designado NR-05 – nomeação formal e certificado de treinamento</t>
        </is>
      </c>
      <c r="C7" s="17" t="inlineStr">
        <is>
          <t>SST</t>
        </is>
      </c>
      <c r="D7" s="20" t="inlineStr">
        <is>
          <t>Compartilhado (Empresa + SST)</t>
        </is>
      </c>
      <c r="E7" s="17" t="inlineStr">
        <is>
          <t>NR-05 (5.4.14 e 5.7)</t>
        </is>
      </c>
      <c r="F7" s="17">
        <f>SUMIFS(Itens!$H:$H,Itens!$D:$D,A7)</f>
        <v/>
      </c>
      <c r="G7" s="17">
        <f>COUNTIF(Itens!$D:$D,A7)</f>
        <v/>
      </c>
      <c r="H7" s="17">
        <f>COUNTIFS(Itens!$D:$D,A7,Itens!$I:$I,"Pendente")+COUNTIFS(Itens!$D:$D,A7,Itens!$I:$I,"Em andamento")+COUNTIFS(Itens!$D:$D,A7,Itens!$I:$I,"A confirmar")</f>
        <v/>
      </c>
      <c r="I7" s="17">
        <f>F7+G7/1000+(1000-ROW())/1000000</f>
        <v/>
      </c>
    </row>
    <row r="8">
      <c r="A8" s="17" t="inlineStr">
        <is>
          <t>LTCAT</t>
        </is>
      </c>
      <c r="B8" s="17" t="inlineStr">
        <is>
          <t>LTCAT / laudo de insalubridade e periculosidade</t>
        </is>
      </c>
      <c r="C8" s="17" t="inlineStr">
        <is>
          <t>SST</t>
        </is>
      </c>
      <c r="D8" s="19" t="inlineStr">
        <is>
          <t>Assessoria SST</t>
        </is>
      </c>
      <c r="E8" s="17" t="inlineStr">
        <is>
          <t>NR-15, NR-16, Lei 8.213/91</t>
        </is>
      </c>
      <c r="F8" s="17">
        <f>SUMIFS(Itens!$H:$H,Itens!$D:$D,A8)</f>
        <v/>
      </c>
      <c r="G8" s="17">
        <f>COUNTIF(Itens!$D:$D,A8)</f>
        <v/>
      </c>
      <c r="H8" s="17">
        <f>COUNTIFS(Itens!$D:$D,A8,Itens!$I:$I,"Pendente")+COUNTIFS(Itens!$D:$D,A8,Itens!$I:$I,"Em andamento")+COUNTIFS(Itens!$D:$D,A8,Itens!$I:$I,"A confirmar")</f>
        <v/>
      </c>
      <c r="I8" s="17">
        <f>F8+G8/1000+(1000-ROW())/1000000</f>
        <v/>
      </c>
    </row>
    <row r="9">
      <c r="A9" s="17" t="inlineStr">
        <is>
          <t>AEP</t>
        </is>
      </c>
      <c r="B9" s="17" t="inlineStr">
        <is>
          <t>AEP/AET – avaliação ergonômica</t>
        </is>
      </c>
      <c r="C9" s="17" t="inlineStr">
        <is>
          <t>SST</t>
        </is>
      </c>
      <c r="D9" s="19" t="inlineStr">
        <is>
          <t>Assessoria SST</t>
        </is>
      </c>
      <c r="E9" s="17" t="inlineStr">
        <is>
          <t>NR-17</t>
        </is>
      </c>
      <c r="F9" s="17">
        <f>SUMIFS(Itens!$H:$H,Itens!$D:$D,A9)</f>
        <v/>
      </c>
      <c r="G9" s="17">
        <f>COUNTIF(Itens!$D:$D,A9)</f>
        <v/>
      </c>
      <c r="H9" s="17">
        <f>COUNTIFS(Itens!$D:$D,A9,Itens!$I:$I,"Pendente")+COUNTIFS(Itens!$D:$D,A9,Itens!$I:$I,"Em andamento")+COUNTIFS(Itens!$D:$D,A9,Itens!$I:$I,"A confirmar")</f>
        <v/>
      </c>
      <c r="I9" s="17">
        <f>F9+G9/1000+(1000-ROW())/1000000</f>
        <v/>
      </c>
    </row>
    <row r="10">
      <c r="A10" s="17" t="inlineStr">
        <is>
          <t>NR12-INV</t>
        </is>
      </c>
      <c r="B10" s="17" t="inlineStr">
        <is>
          <t>Inventário de máquinas e apreciação de riscos</t>
        </is>
      </c>
      <c r="C10" s="17" t="inlineStr">
        <is>
          <t>SST</t>
        </is>
      </c>
      <c r="D10" s="19" t="inlineStr">
        <is>
          <t>Assessoria SST</t>
        </is>
      </c>
      <c r="E10" s="17" t="inlineStr">
        <is>
          <t>NR-12</t>
        </is>
      </c>
      <c r="F10" s="17">
        <f>SUMIFS(Itens!$H:$H,Itens!$D:$D,A10)</f>
        <v/>
      </c>
      <c r="G10" s="17">
        <f>COUNTIF(Itens!$D:$D,A10)</f>
        <v/>
      </c>
      <c r="H10" s="17">
        <f>COUNTIFS(Itens!$D:$D,A10,Itens!$I:$I,"Pendente")+COUNTIFS(Itens!$D:$D,A10,Itens!$I:$I,"Em andamento")+COUNTIFS(Itens!$D:$D,A10,Itens!$I:$I,"A confirmar")</f>
        <v/>
      </c>
      <c r="I10" s="17">
        <f>F10+G10/1000+(1000-ROW())/1000000</f>
        <v/>
      </c>
    </row>
    <row r="11">
      <c r="A11" s="17" t="inlineStr">
        <is>
          <t>TREIN</t>
        </is>
      </c>
      <c r="B11" s="17" t="inlineStr">
        <is>
          <t>Certificados de treinamento/capacitação (máquinas, empilhadeira etc.)</t>
        </is>
      </c>
      <c r="C11" s="17" t="inlineStr">
        <is>
          <t>SST</t>
        </is>
      </c>
      <c r="D11" s="19" t="inlineStr">
        <is>
          <t>Assessoria SST</t>
        </is>
      </c>
      <c r="E11" s="17" t="inlineStr">
        <is>
          <t>NR-01, NR-11, NR-12</t>
        </is>
      </c>
      <c r="F11" s="17">
        <f>SUMIFS(Itens!$H:$H,Itens!$D:$D,A11)</f>
        <v/>
      </c>
      <c r="G11" s="17">
        <f>COUNTIF(Itens!$D:$D,A11)</f>
        <v/>
      </c>
      <c r="H11" s="17">
        <f>COUNTIFS(Itens!$D:$D,A11,Itens!$I:$I,"Pendente")+COUNTIFS(Itens!$D:$D,A11,Itens!$I:$I,"Em andamento")+COUNTIFS(Itens!$D:$D,A11,Itens!$I:$I,"A confirmar")</f>
        <v/>
      </c>
      <c r="I11" s="17">
        <f>F11+G11/1000+(1000-ROW())/1000000</f>
        <v/>
      </c>
    </row>
    <row r="12">
      <c r="A12" s="17" t="inlineStr">
        <is>
          <t>ACID</t>
        </is>
      </c>
      <c r="B12" s="17" t="inlineStr">
        <is>
          <t>Procedimento e análise de acidentes e doenças do trabalho</t>
        </is>
      </c>
      <c r="C12" s="17" t="inlineStr">
        <is>
          <t>SST</t>
        </is>
      </c>
      <c r="D12" s="19" t="inlineStr">
        <is>
          <t>Assessoria SST</t>
        </is>
      </c>
      <c r="E12" s="17" t="inlineStr">
        <is>
          <t>NR-01</t>
        </is>
      </c>
      <c r="F12" s="17">
        <f>SUMIFS(Itens!$H:$H,Itens!$D:$D,A12)</f>
        <v/>
      </c>
      <c r="G12" s="17">
        <f>COUNTIF(Itens!$D:$D,A12)</f>
        <v/>
      </c>
      <c r="H12" s="17">
        <f>COUNTIFS(Itens!$D:$D,A12,Itens!$I:$I,"Pendente")+COUNTIFS(Itens!$D:$D,A12,Itens!$I:$I,"Em andamento")+COUNTIFS(Itens!$D:$D,A12,Itens!$I:$I,"A confirmar")</f>
        <v/>
      </c>
      <c r="I12" s="17">
        <f>F12+G12/1000+(1000-ROW())/1000000</f>
        <v/>
      </c>
    </row>
    <row r="13">
      <c r="A13" s="17" t="inlineStr">
        <is>
          <t>CAT</t>
        </is>
      </c>
      <c r="B13" s="17" t="inlineStr">
        <is>
          <t>CATs dos últimos 5 anos e relatórios de investigação</t>
        </is>
      </c>
      <c r="C13" s="17" t="inlineStr">
        <is>
          <t>SST</t>
        </is>
      </c>
      <c r="D13" s="20" t="inlineStr">
        <is>
          <t>Compartilhado (Empresa + SST)</t>
        </is>
      </c>
      <c r="E13" s="17" t="inlineStr">
        <is>
          <t>Lei 8.213/91 art. 22; NR-01</t>
        </is>
      </c>
      <c r="F13" s="17">
        <f>SUMIFS(Itens!$H:$H,Itens!$D:$D,A13)</f>
        <v/>
      </c>
      <c r="G13" s="17">
        <f>COUNTIF(Itens!$D:$D,A13)</f>
        <v/>
      </c>
      <c r="H13" s="17">
        <f>COUNTIFS(Itens!$D:$D,A13,Itens!$I:$I,"Pendente")+COUNTIFS(Itens!$D:$D,A13,Itens!$I:$I,"Em andamento")+COUNTIFS(Itens!$D:$D,A13,Itens!$I:$I,"A confirmar")</f>
        <v/>
      </c>
      <c r="I13" s="17">
        <f>F13+G13/1000+(1000-ROW())/1000000</f>
        <v/>
      </c>
    </row>
    <row r="14">
      <c r="A14" s="17" t="inlineStr">
        <is>
          <t>SESMT</t>
        </is>
      </c>
      <c r="B14" s="17" t="inlineStr">
        <is>
          <t>SESMT – constituição e plano de trabalho</t>
        </is>
      </c>
      <c r="C14" s="17" t="inlineStr">
        <is>
          <t>SST</t>
        </is>
      </c>
      <c r="D14" s="19" t="inlineStr">
        <is>
          <t>Assessoria SST</t>
        </is>
      </c>
      <c r="E14" s="17" t="inlineStr">
        <is>
          <t>NR-04</t>
        </is>
      </c>
      <c r="F14" s="17">
        <f>SUMIFS(Itens!$H:$H,Itens!$D:$D,A14)</f>
        <v/>
      </c>
      <c r="G14" s="17">
        <f>COUNTIF(Itens!$D:$D,A14)</f>
        <v/>
      </c>
      <c r="H14" s="17">
        <f>COUNTIFS(Itens!$D:$D,A14,Itens!$I:$I,"Pendente")+COUNTIFS(Itens!$D:$D,A14,Itens!$I:$I,"Em andamento")+COUNTIFS(Itens!$D:$D,A14,Itens!$I:$I,"A confirmar")</f>
        <v/>
      </c>
      <c r="I14" s="17">
        <f>F14+G14/1000+(1000-ROW())/1000000</f>
        <v/>
      </c>
    </row>
    <row r="15">
      <c r="A15" s="17" t="inlineStr">
        <is>
          <t>ALTURA</t>
        </is>
      </c>
      <c r="B15" s="17" t="inlineStr">
        <is>
          <t>Análise de risco para trabalho em altura</t>
        </is>
      </c>
      <c r="C15" s="17" t="inlineStr">
        <is>
          <t>SST</t>
        </is>
      </c>
      <c r="D15" s="19" t="inlineStr">
        <is>
          <t>Assessoria SST</t>
        </is>
      </c>
      <c r="E15" s="17" t="inlineStr">
        <is>
          <t>NR-35</t>
        </is>
      </c>
      <c r="F15" s="17">
        <f>SUMIFS(Itens!$H:$H,Itens!$D:$D,A15)</f>
        <v/>
      </c>
      <c r="G15" s="17">
        <f>COUNTIF(Itens!$D:$D,A15)</f>
        <v/>
      </c>
      <c r="H15" s="17">
        <f>COUNTIFS(Itens!$D:$D,A15,Itens!$I:$I,"Pendente")+COUNTIFS(Itens!$D:$D,A15,Itens!$I:$I,"Em andamento")+COUNTIFS(Itens!$D:$D,A15,Itens!$I:$I,"A confirmar")</f>
        <v/>
      </c>
      <c r="I15" s="17">
        <f>F15+G15/1000+(1000-ROW())/1000000</f>
        <v/>
      </c>
    </row>
    <row r="16">
      <c r="A16" s="17" t="inlineStr">
        <is>
          <t>ATERR</t>
        </is>
      </c>
      <c r="B16" s="17" t="inlineStr">
        <is>
          <t>Laudo de inspeção e medição de aterramento com ART</t>
        </is>
      </c>
      <c r="C16" s="17" t="inlineStr">
        <is>
          <t>Operação</t>
        </is>
      </c>
      <c r="D16" s="21" t="inlineStr">
        <is>
          <t>Empresa – Operação/Manutenção</t>
        </is>
      </c>
      <c r="E16" s="17" t="inlineStr">
        <is>
          <t>NR-10, NR-12</t>
        </is>
      </c>
      <c r="F16" s="17">
        <f>SUMIFS(Itens!$H:$H,Itens!$D:$D,A16)</f>
        <v/>
      </c>
      <c r="G16" s="17">
        <f>COUNTIF(Itens!$D:$D,A16)</f>
        <v/>
      </c>
      <c r="H16" s="17">
        <f>COUNTIFS(Itens!$D:$D,A16,Itens!$I:$I,"Pendente")+COUNTIFS(Itens!$D:$D,A16,Itens!$I:$I,"Em andamento")+COUNTIFS(Itens!$D:$D,A16,Itens!$I:$I,"A confirmar")</f>
        <v/>
      </c>
      <c r="I16" s="17">
        <f>F16+G16/1000+(1000-ROW())/1000000</f>
        <v/>
      </c>
    </row>
    <row r="17">
      <c r="A17" s="17" t="inlineStr">
        <is>
          <t>NR12-MANUT</t>
        </is>
      </c>
      <c r="B17" s="17" t="inlineStr">
        <is>
          <t>Registro de manutenção de máquinas e equipamentos</t>
        </is>
      </c>
      <c r="C17" s="17" t="inlineStr">
        <is>
          <t>Operação</t>
        </is>
      </c>
      <c r="D17" s="21" t="inlineStr">
        <is>
          <t>Empresa – Operação/Manutenção</t>
        </is>
      </c>
      <c r="E17" s="17" t="inlineStr">
        <is>
          <t>NR-12 (12.11.1)</t>
        </is>
      </c>
      <c r="F17" s="17">
        <f>SUMIFS(Itens!$H:$H,Itens!$D:$D,A17)</f>
        <v/>
      </c>
      <c r="G17" s="17">
        <f>COUNTIF(Itens!$D:$D,A17)</f>
        <v/>
      </c>
      <c r="H17" s="17">
        <f>COUNTIFS(Itens!$D:$D,A17,Itens!$I:$I,"Pendente")+COUNTIFS(Itens!$D:$D,A17,Itens!$I:$I,"Em andamento")+COUNTIFS(Itens!$D:$D,A17,Itens!$I:$I,"A confirmar")</f>
        <v/>
      </c>
      <c r="I17" s="17">
        <f>F17+G17/1000+(1000-ROW())/1000000</f>
        <v/>
      </c>
    </row>
    <row r="18">
      <c r="A18" s="17" t="inlineStr">
        <is>
          <t>NR12-ADEQ</t>
        </is>
      </c>
      <c r="B18" s="17" t="inlineStr">
        <is>
          <t>Adequação de máquinas (proteções, intertravamento, zona de perigo) + relatório fotográfico</t>
        </is>
      </c>
      <c r="C18" s="17" t="inlineStr">
        <is>
          <t>Operação</t>
        </is>
      </c>
      <c r="D18" s="21" t="inlineStr">
        <is>
          <t>Empresa – Operação/Manutenção</t>
        </is>
      </c>
      <c r="E18" s="17" t="inlineStr">
        <is>
          <t>NR-12</t>
        </is>
      </c>
      <c r="F18" s="17">
        <f>SUMIFS(Itens!$H:$H,Itens!$D:$D,A18)</f>
        <v/>
      </c>
      <c r="G18" s="17">
        <f>COUNTIF(Itens!$D:$D,A18)</f>
        <v/>
      </c>
      <c r="H18" s="17">
        <f>COUNTIFS(Itens!$D:$D,A18,Itens!$I:$I,"Pendente")+COUNTIFS(Itens!$D:$D,A18,Itens!$I:$I,"Em andamento")+COUNTIFS(Itens!$D:$D,A18,Itens!$I:$I,"A confirmar")</f>
        <v/>
      </c>
      <c r="I18" s="17">
        <f>F18+G18/1000+(1000-ROW())/1000000</f>
        <v/>
      </c>
    </row>
    <row r="19">
      <c r="A19" s="17" t="inlineStr">
        <is>
          <t>AVCB</t>
        </is>
      </c>
      <c r="B19" s="17" t="inlineStr">
        <is>
          <t>AVCB – Auto de Vistoria do Corpo de Bombeiros</t>
        </is>
      </c>
      <c r="C19" s="17" t="inlineStr">
        <is>
          <t>Operação</t>
        </is>
      </c>
      <c r="D19" s="21" t="inlineStr">
        <is>
          <t>Empresa – Operação/Manutenção</t>
        </is>
      </c>
      <c r="E19" s="17" t="inlineStr">
        <is>
          <t>NR-23; legislação estadual</t>
        </is>
      </c>
      <c r="F19" s="17">
        <f>SUMIFS(Itens!$H:$H,Itens!$D:$D,A19)</f>
        <v/>
      </c>
      <c r="G19" s="17">
        <f>COUNTIF(Itens!$D:$D,A19)</f>
        <v/>
      </c>
      <c r="H19" s="17">
        <f>COUNTIFS(Itens!$D:$D,A19,Itens!$I:$I,"Pendente")+COUNTIFS(Itens!$D:$D,A19,Itens!$I:$I,"Em andamento")+COUNTIFS(Itens!$D:$D,A19,Itens!$I:$I,"A confirmar")</f>
        <v/>
      </c>
      <c r="I19" s="17">
        <f>F19+G19/1000+(1000-ROW())/1000000</f>
        <v/>
      </c>
    </row>
    <row r="20">
      <c r="A20" s="17" t="inlineStr">
        <is>
          <t>VENT</t>
        </is>
      </c>
      <c r="B20" s="17" t="inlineStr">
        <is>
          <t>Projeto de ventilação/exaustão com ART e cronograma</t>
        </is>
      </c>
      <c r="C20" s="17" t="inlineStr">
        <is>
          <t>Operação</t>
        </is>
      </c>
      <c r="D20" s="21" t="inlineStr">
        <is>
          <t>Empresa – Operação/Manutenção</t>
        </is>
      </c>
      <c r="E20" s="17" t="inlineStr">
        <is>
          <t>CLT arts. 176 e 178; ABNT NBR 14518</t>
        </is>
      </c>
      <c r="F20" s="17">
        <f>SUMIFS(Itens!$H:$H,Itens!$D:$D,A20)</f>
        <v/>
      </c>
      <c r="G20" s="17">
        <f>COUNTIF(Itens!$D:$D,A20)</f>
        <v/>
      </c>
      <c r="H20" s="17">
        <f>COUNTIFS(Itens!$D:$D,A20,Itens!$I:$I,"Pendente")+COUNTIFS(Itens!$D:$D,A20,Itens!$I:$I,"Em andamento")+COUNTIFS(Itens!$D:$D,A20,Itens!$I:$I,"A confirmar")</f>
        <v/>
      </c>
      <c r="I20" s="17">
        <f>F20+G20/1000+(1000-ROW())/1000000</f>
        <v/>
      </c>
    </row>
    <row r="21">
      <c r="A21" s="17" t="inlineStr">
        <is>
          <t>NR24</t>
        </is>
      </c>
      <c r="B21" s="17" t="inlineStr">
        <is>
          <t>Condições sanitárias e de conforto (local de descanso, papel-toalha etc.)</t>
        </is>
      </c>
      <c r="C21" s="17" t="inlineStr">
        <is>
          <t>Operação</t>
        </is>
      </c>
      <c r="D21" s="21" t="inlineStr">
        <is>
          <t>Empresa – Operação/Manutenção</t>
        </is>
      </c>
      <c r="E21" s="17" t="inlineStr">
        <is>
          <t>NR-24</t>
        </is>
      </c>
      <c r="F21" s="17">
        <f>SUMIFS(Itens!$H:$H,Itens!$D:$D,A21)</f>
        <v/>
      </c>
      <c r="G21" s="17">
        <f>COUNTIF(Itens!$D:$D,A21)</f>
        <v/>
      </c>
      <c r="H21" s="17">
        <f>COUNTIFS(Itens!$D:$D,A21,Itens!$I:$I,"Pendente")+COUNTIFS(Itens!$D:$D,A21,Itens!$I:$I,"Em andamento")+COUNTIFS(Itens!$D:$D,A21,Itens!$I:$I,"A confirmar")</f>
        <v/>
      </c>
      <c r="I21" s="17">
        <f>F21+G21/1000+(1000-ROW())/1000000</f>
        <v/>
      </c>
    </row>
    <row r="22">
      <c r="A22" s="17" t="inlineStr">
        <is>
          <t>ARMAZ</t>
        </is>
      </c>
      <c r="B22" s="17" t="inlineStr">
        <is>
          <t>Armazenamento de materiais (afastamento de 50 cm das paredes)</t>
        </is>
      </c>
      <c r="C22" s="17" t="inlineStr">
        <is>
          <t>Operação</t>
        </is>
      </c>
      <c r="D22" s="21" t="inlineStr">
        <is>
          <t>Empresa – Operação/Manutenção</t>
        </is>
      </c>
      <c r="E22" s="17" t="inlineStr">
        <is>
          <t>NR-11</t>
        </is>
      </c>
      <c r="F22" s="17">
        <f>SUMIFS(Itens!$H:$H,Itens!$D:$D,A22)</f>
        <v/>
      </c>
      <c r="G22" s="17">
        <f>COUNTIF(Itens!$D:$D,A22)</f>
        <v/>
      </c>
      <c r="H22" s="17">
        <f>COUNTIFS(Itens!$D:$D,A22,Itens!$I:$I,"Pendente")+COUNTIFS(Itens!$D:$D,A22,Itens!$I:$I,"Em andamento")+COUNTIFS(Itens!$D:$D,A22,Itens!$I:$I,"A confirmar")</f>
        <v/>
      </c>
      <c r="I22" s="17">
        <f>F22+G22/1000+(1000-ROW())/1000000</f>
        <v/>
      </c>
    </row>
    <row r="23">
      <c r="A23" s="17" t="inlineStr">
        <is>
          <t>CONTRATO</t>
        </is>
      </c>
      <c r="B23" s="17" t="inlineStr">
        <is>
          <t>Contrato social / alterações / comprovação de porte (ME/EPP)</t>
        </is>
      </c>
      <c r="C23" s="17" t="inlineStr">
        <is>
          <t>RH/Adm</t>
        </is>
      </c>
      <c r="D23" s="22" t="inlineStr">
        <is>
          <t>Empresa – RH/DP</t>
        </is>
      </c>
      <c r="E23" s="17" t="inlineStr">
        <is>
          <t>CLT art. 630</t>
        </is>
      </c>
      <c r="F23" s="17">
        <f>SUMIFS(Itens!$H:$H,Itens!$D:$D,A23)</f>
        <v/>
      </c>
      <c r="G23" s="17">
        <f>COUNTIF(Itens!$D:$D,A23)</f>
        <v/>
      </c>
      <c r="H23" s="17">
        <f>COUNTIFS(Itens!$D:$D,A23,Itens!$I:$I,"Pendente")+COUNTIFS(Itens!$D:$D,A23,Itens!$I:$I,"Em andamento")+COUNTIFS(Itens!$D:$D,A23,Itens!$I:$I,"A confirmar")</f>
        <v/>
      </c>
      <c r="I23" s="17">
        <f>F23+G23/1000+(1000-ROW())/1000000</f>
        <v/>
      </c>
    </row>
    <row r="24">
      <c r="A24" s="17" t="inlineStr">
        <is>
          <t>REL-EMP</t>
        </is>
      </c>
      <c r="B24" s="17" t="inlineStr">
        <is>
          <t>Relação de empregados em Excel (nome, CPF, PIS, admissão, função)</t>
        </is>
      </c>
      <c r="C24" s="17" t="inlineStr">
        <is>
          <t>RH/Adm</t>
        </is>
      </c>
      <c r="D24" s="22" t="inlineStr">
        <is>
          <t>Empresa – RH/DP</t>
        </is>
      </c>
      <c r="E24" s="17" t="inlineStr">
        <is>
          <t>CLT art. 630</t>
        </is>
      </c>
      <c r="F24" s="17">
        <f>SUMIFS(Itens!$H:$H,Itens!$D:$D,A24)</f>
        <v/>
      </c>
      <c r="G24" s="17">
        <f>COUNTIF(Itens!$D:$D,A24)</f>
        <v/>
      </c>
      <c r="H24" s="17">
        <f>COUNTIFS(Itens!$D:$D,A24,Itens!$I:$I,"Pendente")+COUNTIFS(Itens!$D:$D,A24,Itens!$I:$I,"Em andamento")+COUNTIFS(Itens!$D:$D,A24,Itens!$I:$I,"A confirmar")</f>
        <v/>
      </c>
      <c r="I24" s="17">
        <f>F24+G24/1000+(1000-ROW())/1000000</f>
        <v/>
      </c>
    </row>
    <row r="25">
      <c r="A25" s="17" t="inlineStr">
        <is>
          <t>REG-EMP</t>
        </is>
      </c>
      <c r="B25" s="17" t="inlineStr">
        <is>
          <t>Livro ou fichas de registro de empregados</t>
        </is>
      </c>
      <c r="C25" s="17" t="inlineStr">
        <is>
          <t>RH/Adm</t>
        </is>
      </c>
      <c r="D25" s="22" t="inlineStr">
        <is>
          <t>Empresa – RH/DP</t>
        </is>
      </c>
      <c r="E25" s="17" t="inlineStr">
        <is>
          <t>CLT art. 41; Portaria MTP 671/2021</t>
        </is>
      </c>
      <c r="F25" s="17">
        <f>SUMIFS(Itens!$H:$H,Itens!$D:$D,A25)</f>
        <v/>
      </c>
      <c r="G25" s="17">
        <f>COUNTIF(Itens!$D:$D,A25)</f>
        <v/>
      </c>
      <c r="H25" s="17">
        <f>COUNTIFS(Itens!$D:$D,A25,Itens!$I:$I,"Pendente")+COUNTIFS(Itens!$D:$D,A25,Itens!$I:$I,"Em andamento")+COUNTIFS(Itens!$D:$D,A25,Itens!$I:$I,"A confirmar")</f>
        <v/>
      </c>
      <c r="I25" s="17">
        <f>F25+G25/1000+(1000-ROW())/1000000</f>
        <v/>
      </c>
    </row>
    <row r="26">
      <c r="A26" s="17" t="inlineStr">
        <is>
          <t>CCT</t>
        </is>
      </c>
      <c r="B26" s="17" t="inlineStr">
        <is>
          <t>Acordo / convenção coletiva / dissídio vigente</t>
        </is>
      </c>
      <c r="C26" s="17" t="inlineStr">
        <is>
          <t>RH/Adm</t>
        </is>
      </c>
      <c r="D26" s="22" t="inlineStr">
        <is>
          <t>Empresa – RH/DP</t>
        </is>
      </c>
      <c r="E26" s="17" t="inlineStr">
        <is>
          <t>CLT art. 611</t>
        </is>
      </c>
      <c r="F26" s="17">
        <f>SUMIFS(Itens!$H:$H,Itens!$D:$D,A26)</f>
        <v/>
      </c>
      <c r="G26" s="17">
        <f>COUNTIF(Itens!$D:$D,A26)</f>
        <v/>
      </c>
      <c r="H26" s="17">
        <f>COUNTIFS(Itens!$D:$D,A26,Itens!$I:$I,"Pendente")+COUNTIFS(Itens!$D:$D,A26,Itens!$I:$I,"Em andamento")+COUNTIFS(Itens!$D:$D,A26,Itens!$I:$I,"A confirmar")</f>
        <v/>
      </c>
      <c r="I26" s="17">
        <f>F26+G26/1000+(1000-ROW())/1000000</f>
        <v/>
      </c>
    </row>
    <row r="27">
      <c r="A27" s="17" t="inlineStr">
        <is>
          <t>PONTO-AFD</t>
        </is>
      </c>
      <c r="B27" s="17" t="inlineStr">
        <is>
          <t>Arquivos AFD e AEJ do ponto eletrônico</t>
        </is>
      </c>
      <c r="C27" s="17" t="inlineStr">
        <is>
          <t>RH/Adm</t>
        </is>
      </c>
      <c r="D27" s="22" t="inlineStr">
        <is>
          <t>Empresa – RH/DP</t>
        </is>
      </c>
      <c r="E27" s="17" t="inlineStr">
        <is>
          <t>Portaria MTP 671/2021</t>
        </is>
      </c>
      <c r="F27" s="17">
        <f>SUMIFS(Itens!$H:$H,Itens!$D:$D,A27)</f>
        <v/>
      </c>
      <c r="G27" s="17">
        <f>COUNTIF(Itens!$D:$D,A27)</f>
        <v/>
      </c>
      <c r="H27" s="17">
        <f>COUNTIFS(Itens!$D:$D,A27,Itens!$I:$I,"Pendente")+COUNTIFS(Itens!$D:$D,A27,Itens!$I:$I,"Em andamento")+COUNTIFS(Itens!$D:$D,A27,Itens!$I:$I,"A confirmar")</f>
        <v/>
      </c>
      <c r="I27" s="17">
        <f>F27+G27/1000+(1000-ROW())/1000000</f>
        <v/>
      </c>
    </row>
    <row r="28">
      <c r="A28" s="17" t="inlineStr">
        <is>
          <t>PONTO-ESP</t>
        </is>
      </c>
      <c r="B28" s="17" t="inlineStr">
        <is>
          <t>Espelho de ponto / folhas de ponto manuais</t>
        </is>
      </c>
      <c r="C28" s="17" t="inlineStr">
        <is>
          <t>RH/Adm</t>
        </is>
      </c>
      <c r="D28" s="22" t="inlineStr">
        <is>
          <t>Empresa – RH/DP</t>
        </is>
      </c>
      <c r="E28" s="17" t="inlineStr">
        <is>
          <t>CLT art. 74; Portaria MTP 671/2021</t>
        </is>
      </c>
      <c r="F28" s="17">
        <f>SUMIFS(Itens!$H:$H,Itens!$D:$D,A28)</f>
        <v/>
      </c>
      <c r="G28" s="17">
        <f>COUNTIF(Itens!$D:$D,A28)</f>
        <v/>
      </c>
      <c r="H28" s="17">
        <f>COUNTIFS(Itens!$D:$D,A28,Itens!$I:$I,"Pendente")+COUNTIFS(Itens!$D:$D,A28,Itens!$I:$I,"Em andamento")+COUNTIFS(Itens!$D:$D,A28,Itens!$I:$I,"A confirmar")</f>
        <v/>
      </c>
      <c r="I28" s="17">
        <f>F28+G28/1000+(1000-ROW())/1000000</f>
        <v/>
      </c>
    </row>
    <row r="29">
      <c r="A29" s="17" t="inlineStr">
        <is>
          <t>PONTO-REP</t>
        </is>
      </c>
      <c r="B29" s="17" t="inlineStr">
        <is>
          <t>Atestado técnico e termo de responsabilidade do REP e do programa de ponto</t>
        </is>
      </c>
      <c r="C29" s="17" t="inlineStr">
        <is>
          <t>RH/Adm</t>
        </is>
      </c>
      <c r="D29" s="22" t="inlineStr">
        <is>
          <t>Empresa – RH/DP</t>
        </is>
      </c>
      <c r="E29" s="17" t="inlineStr">
        <is>
          <t>Portaria MTP 671/2021 art. 89</t>
        </is>
      </c>
      <c r="F29" s="17">
        <f>SUMIFS(Itens!$H:$H,Itens!$D:$D,A29)</f>
        <v/>
      </c>
      <c r="G29" s="17">
        <f>COUNTIF(Itens!$D:$D,A29)</f>
        <v/>
      </c>
      <c r="H29" s="17">
        <f>COUNTIFS(Itens!$D:$D,A29,Itens!$I:$I,"Pendente")+COUNTIFS(Itens!$D:$D,A29,Itens!$I:$I,"Em andamento")+COUNTIFS(Itens!$D:$D,A29,Itens!$I:$I,"A confirmar")</f>
        <v/>
      </c>
      <c r="I29" s="17">
        <f>F29+G29/1000+(1000-ROW())/1000000</f>
        <v/>
      </c>
    </row>
    <row r="30">
      <c r="A30" s="17" t="inlineStr">
        <is>
          <t>AFAST</t>
        </is>
      </c>
      <c r="B30" s="17" t="inlineStr">
        <is>
          <t>Planilha de afastados (INSS) e comprovantes de benefício</t>
        </is>
      </c>
      <c r="C30" s="17" t="inlineStr">
        <is>
          <t>RH/Adm</t>
        </is>
      </c>
      <c r="D30" s="22" t="inlineStr">
        <is>
          <t>Empresa – RH/DP</t>
        </is>
      </c>
      <c r="E30" s="17" t="inlineStr">
        <is>
          <t>CLT art. 630</t>
        </is>
      </c>
      <c r="F30" s="17">
        <f>SUMIFS(Itens!$H:$H,Itens!$D:$D,A30)</f>
        <v/>
      </c>
      <c r="G30" s="17">
        <f>COUNTIF(Itens!$D:$D,A30)</f>
        <v/>
      </c>
      <c r="H30" s="17">
        <f>COUNTIFS(Itens!$D:$D,A30,Itens!$I:$I,"Pendente")+COUNTIFS(Itens!$D:$D,A30,Itens!$I:$I,"Em andamento")+COUNTIFS(Itens!$D:$D,A30,Itens!$I:$I,"A confirmar")</f>
        <v/>
      </c>
      <c r="I30" s="17">
        <f>F30+G30/1000+(1000-ROW())/1000000</f>
        <v/>
      </c>
    </row>
    <row r="31">
      <c r="A31" s="17" t="inlineStr">
        <is>
          <t>ACORDO-IND</t>
        </is>
      </c>
      <c r="B31" s="17" t="inlineStr">
        <is>
          <t>Acordos individuais de compensação de jornada</t>
        </is>
      </c>
      <c r="C31" s="17" t="inlineStr">
        <is>
          <t>RH/Adm</t>
        </is>
      </c>
      <c r="D31" s="22" t="inlineStr">
        <is>
          <t>Empresa – RH/DP</t>
        </is>
      </c>
      <c r="E31" s="17" t="inlineStr">
        <is>
          <t>CLT art. 59</t>
        </is>
      </c>
      <c r="F31" s="17">
        <f>SUMIFS(Itens!$H:$H,Itens!$D:$D,A31)</f>
        <v/>
      </c>
      <c r="G31" s="17">
        <f>COUNTIF(Itens!$D:$D,A31)</f>
        <v/>
      </c>
      <c r="H31" s="17">
        <f>COUNTIFS(Itens!$D:$D,A31,Itens!$I:$I,"Pendente")+COUNTIFS(Itens!$D:$D,A31,Itens!$I:$I,"Em andamento")+COUNTIFS(Itens!$D:$D,A31,Itens!$I:$I,"A confirmar")</f>
        <v/>
      </c>
      <c r="I31" s="17">
        <f>F31+G31/1000+(1000-ROW())/1000000</f>
        <v/>
      </c>
    </row>
    <row r="32">
      <c r="A32" s="17" t="inlineStr">
        <is>
          <t>HIPERSUF</t>
        </is>
      </c>
      <c r="B32" s="17" t="inlineStr">
        <is>
          <t>Contratos de empregados hipersuficientes</t>
        </is>
      </c>
      <c r="C32" s="17" t="inlineStr">
        <is>
          <t>RH/Adm</t>
        </is>
      </c>
      <c r="D32" s="22" t="inlineStr">
        <is>
          <t>Empresa – RH/DP</t>
        </is>
      </c>
      <c r="E32" s="17" t="inlineStr">
        <is>
          <t>CLT art. 444, par. único</t>
        </is>
      </c>
      <c r="F32" s="17">
        <f>SUMIFS(Itens!$H:$H,Itens!$D:$D,A32)</f>
        <v/>
      </c>
      <c r="G32" s="17">
        <f>COUNTIF(Itens!$D:$D,A32)</f>
        <v/>
      </c>
      <c r="H32" s="17">
        <f>COUNTIFS(Itens!$D:$D,A32,Itens!$I:$I,"Pendente")+COUNTIFS(Itens!$D:$D,A32,Itens!$I:$I,"Em andamento")+COUNTIFS(Itens!$D:$D,A32,Itens!$I:$I,"A confirmar")</f>
        <v/>
      </c>
      <c r="I32" s="17">
        <f>F32+G32/1000+(1000-ROW())/1000000</f>
        <v/>
      </c>
    </row>
    <row r="33">
      <c r="A33" s="17" t="inlineStr">
        <is>
          <t>EST-REL</t>
        </is>
      </c>
      <c r="B33" s="17" t="inlineStr">
        <is>
          <t>Relação de estagiários ativos (Excel)</t>
        </is>
      </c>
      <c r="C33" s="17" t="inlineStr">
        <is>
          <t>RH/Adm</t>
        </is>
      </c>
      <c r="D33" s="22" t="inlineStr">
        <is>
          <t>Empresa – RH/DP</t>
        </is>
      </c>
      <c r="E33" s="17" t="inlineStr">
        <is>
          <t>Lei 11.788/2008</t>
        </is>
      </c>
      <c r="F33" s="17">
        <f>SUMIFS(Itens!$H:$H,Itens!$D:$D,A33)</f>
        <v/>
      </c>
      <c r="G33" s="17">
        <f>COUNTIF(Itens!$D:$D,A33)</f>
        <v/>
      </c>
      <c r="H33" s="17">
        <f>COUNTIFS(Itens!$D:$D,A33,Itens!$I:$I,"Pendente")+COUNTIFS(Itens!$D:$D,A33,Itens!$I:$I,"Em andamento")+COUNTIFS(Itens!$D:$D,A33,Itens!$I:$I,"A confirmar")</f>
        <v/>
      </c>
      <c r="I33" s="17">
        <f>F33+G33/1000+(1000-ROW())/1000000</f>
        <v/>
      </c>
    </row>
    <row r="34">
      <c r="A34" s="17" t="inlineStr">
        <is>
          <t>EST-DOCS</t>
        </is>
      </c>
      <c r="B34" s="17" t="inlineStr">
        <is>
          <t>Estagiários – TCE, plano de atividades, matrícula, seguro e descrição de atividades</t>
        </is>
      </c>
      <c r="C34" s="17" t="inlineStr">
        <is>
          <t>RH/Adm</t>
        </is>
      </c>
      <c r="D34" s="22" t="inlineStr">
        <is>
          <t>Empresa – RH/DP</t>
        </is>
      </c>
      <c r="E34" s="17" t="inlineStr">
        <is>
          <t>Lei 11.788/2008</t>
        </is>
      </c>
      <c r="F34" s="17">
        <f>SUMIFS(Itens!$H:$H,Itens!$D:$D,A34)</f>
        <v/>
      </c>
      <c r="G34" s="17">
        <f>COUNTIF(Itens!$D:$D,A34)</f>
        <v/>
      </c>
      <c r="H34" s="17">
        <f>COUNTIFS(Itens!$D:$D,A34,Itens!$I:$I,"Pendente")+COUNTIFS(Itens!$D:$D,A34,Itens!$I:$I,"Em andamento")+COUNTIFS(Itens!$D:$D,A34,Itens!$I:$I,"A confirmar")</f>
        <v/>
      </c>
      <c r="I34" s="17">
        <f>F34+G34/1000+(1000-ROW())/1000000</f>
        <v/>
      </c>
    </row>
    <row r="35">
      <c r="A35" s="17" t="inlineStr">
        <is>
          <t>APR-REL</t>
        </is>
      </c>
      <c r="B35" s="17" t="inlineStr">
        <is>
          <t>Relação de aprendizes ativos (Excel)</t>
        </is>
      </c>
      <c r="C35" s="17" t="inlineStr">
        <is>
          <t>RH/Adm</t>
        </is>
      </c>
      <c r="D35" s="22" t="inlineStr">
        <is>
          <t>Empresa – RH/DP</t>
        </is>
      </c>
      <c r="E35" s="17" t="inlineStr">
        <is>
          <t>CLT art. 429</t>
        </is>
      </c>
      <c r="F35" s="17">
        <f>SUMIFS(Itens!$H:$H,Itens!$D:$D,A35)</f>
        <v/>
      </c>
      <c r="G35" s="17">
        <f>COUNTIF(Itens!$D:$D,A35)</f>
        <v/>
      </c>
      <c r="H35" s="17">
        <f>COUNTIFS(Itens!$D:$D,A35,Itens!$I:$I,"Pendente")+COUNTIFS(Itens!$D:$D,A35,Itens!$I:$I,"Em andamento")+COUNTIFS(Itens!$D:$D,A35,Itens!$I:$I,"A confirmar")</f>
        <v/>
      </c>
      <c r="I35" s="17">
        <f>F35+G35/1000+(1000-ROW())/1000000</f>
        <v/>
      </c>
    </row>
    <row r="36">
      <c r="A36" s="17" t="inlineStr">
        <is>
          <t>APR-DOCS</t>
        </is>
      </c>
      <c r="B36" s="17" t="inlineStr">
        <is>
          <t>Aprendizes – contratos e declarações de matrícula</t>
        </is>
      </c>
      <c r="C36" s="17" t="inlineStr">
        <is>
          <t>RH/Adm</t>
        </is>
      </c>
      <c r="D36" s="22" t="inlineStr">
        <is>
          <t>Empresa – RH/DP</t>
        </is>
      </c>
      <c r="E36" s="17" t="inlineStr">
        <is>
          <t>CLT art. 428</t>
        </is>
      </c>
      <c r="F36" s="17">
        <f>SUMIFS(Itens!$H:$H,Itens!$D:$D,A36)</f>
        <v/>
      </c>
      <c r="G36" s="17">
        <f>COUNTIF(Itens!$D:$D,A36)</f>
        <v/>
      </c>
      <c r="H36" s="17">
        <f>COUNTIFS(Itens!$D:$D,A36,Itens!$I:$I,"Pendente")+COUNTIFS(Itens!$D:$D,A36,Itens!$I:$I,"Em andamento")+COUNTIFS(Itens!$D:$D,A36,Itens!$I:$I,"A confirmar")</f>
        <v/>
      </c>
      <c r="I36" s="17">
        <f>F36+G36/1000+(1000-ROW())/1000000</f>
        <v/>
      </c>
    </row>
    <row r="37">
      <c r="A37" s="17" t="inlineStr">
        <is>
          <t>EMP-ESPEC</t>
        </is>
      </c>
      <c r="B37" s="17" t="inlineStr">
        <is>
          <t>Documentos de empregados específicos citados pelo fiscal</t>
        </is>
      </c>
      <c r="C37" s="17" t="inlineStr">
        <is>
          <t>RH/Adm</t>
        </is>
      </c>
      <c r="D37" s="22" t="inlineStr">
        <is>
          <t>Empresa – RH/DP</t>
        </is>
      </c>
      <c r="E37" s="17" t="inlineStr">
        <is>
          <t>CLT art. 630</t>
        </is>
      </c>
      <c r="F37" s="17">
        <f>SUMIFS(Itens!$H:$H,Itens!$D:$D,A37)</f>
        <v/>
      </c>
      <c r="G37" s="17">
        <f>COUNTIF(Itens!$D:$D,A37)</f>
        <v/>
      </c>
      <c r="H37" s="17">
        <f>COUNTIFS(Itens!$D:$D,A37,Itens!$I:$I,"Pendente")+COUNTIFS(Itens!$D:$D,A37,Itens!$I:$I,"Em andamento")+COUNTIFS(Itens!$D:$D,A37,Itens!$I:$I,"A confirmar")</f>
        <v/>
      </c>
      <c r="I37" s="17">
        <f>F37+G37/1000+(1000-ROW())/1000000</f>
        <v/>
      </c>
    </row>
    <row r="38">
      <c r="A38" s="17" t="inlineStr">
        <is>
          <t>FOLHA</t>
        </is>
      </c>
      <c r="B38" s="17" t="inlineStr">
        <is>
          <t>Folhas analíticas de pagamento</t>
        </is>
      </c>
      <c r="C38" s="17" t="inlineStr">
        <is>
          <t>Financeiro</t>
        </is>
      </c>
      <c r="D38" s="23" t="inlineStr">
        <is>
          <t>Empresa – Financeiro</t>
        </is>
      </c>
      <c r="E38" s="17" t="inlineStr">
        <is>
          <t>CLT art. 464</t>
        </is>
      </c>
      <c r="F38" s="17">
        <f>SUMIFS(Itens!$H:$H,Itens!$D:$D,A38)</f>
        <v/>
      </c>
      <c r="G38" s="17">
        <f>COUNTIF(Itens!$D:$D,A38)</f>
        <v/>
      </c>
      <c r="H38" s="17">
        <f>COUNTIFS(Itens!$D:$D,A38,Itens!$I:$I,"Pendente")+COUNTIFS(Itens!$D:$D,A38,Itens!$I:$I,"Em andamento")+COUNTIFS(Itens!$D:$D,A38,Itens!$I:$I,"A confirmar")</f>
        <v/>
      </c>
      <c r="I38" s="17">
        <f>F38+G38/1000+(1000-ROW())/1000000</f>
        <v/>
      </c>
    </row>
    <row r="39">
      <c r="A39" s="17" t="inlineStr">
        <is>
          <t>COMPROV-SAL</t>
        </is>
      </c>
      <c r="B39" s="17" t="inlineStr">
        <is>
          <t>Comprovantes bancários de pagamento de salário</t>
        </is>
      </c>
      <c r="C39" s="17" t="inlineStr">
        <is>
          <t>Financeiro</t>
        </is>
      </c>
      <c r="D39" s="23" t="inlineStr">
        <is>
          <t>Empresa – Financeiro</t>
        </is>
      </c>
      <c r="E39" s="17" t="inlineStr">
        <is>
          <t>CLT art. 464</t>
        </is>
      </c>
      <c r="F39" s="17">
        <f>SUMIFS(Itens!$H:$H,Itens!$D:$D,A39)</f>
        <v/>
      </c>
      <c r="G39" s="17">
        <f>COUNTIF(Itens!$D:$D,A39)</f>
        <v/>
      </c>
      <c r="H39" s="17">
        <f>COUNTIFS(Itens!$D:$D,A39,Itens!$I:$I,"Pendente")+COUNTIFS(Itens!$D:$D,A39,Itens!$I:$I,"Em andamento")+COUNTIFS(Itens!$D:$D,A39,Itens!$I:$I,"A confirmar")</f>
        <v/>
      </c>
      <c r="I39" s="17">
        <f>F39+G39/1000+(1000-ROW())/1000000</f>
        <v/>
      </c>
    </row>
    <row r="40">
      <c r="A40" s="17" t="inlineStr">
        <is>
          <t>COMPARECER</t>
        </is>
      </c>
      <c r="B40" s="17" t="inlineStr">
        <is>
          <t>Comparecimento presencial (SRTE / MPT)</t>
        </is>
      </c>
      <c r="C40" s="17" t="inlineStr">
        <is>
          <t>Outros</t>
        </is>
      </c>
      <c r="D40" s="20" t="inlineStr">
        <is>
          <t>Compartilhado (Empresa + SST)</t>
        </is>
      </c>
      <c r="E40" s="17" t="inlineStr">
        <is>
          <t>—</t>
        </is>
      </c>
      <c r="F40" s="17">
        <f>SUMIFS(Itens!$H:$H,Itens!$D:$D,A40)</f>
        <v/>
      </c>
      <c r="G40" s="17">
        <f>COUNTIF(Itens!$D:$D,A40)</f>
        <v/>
      </c>
      <c r="H40" s="17">
        <f>COUNTIFS(Itens!$D:$D,A40,Itens!$I:$I,"Pendente")+COUNTIFS(Itens!$D:$D,A40,Itens!$I:$I,"Em andamento")+COUNTIFS(Itens!$D:$D,A40,Itens!$I:$I,"A confirmar")</f>
        <v/>
      </c>
      <c r="I40" s="17">
        <f>F40+G40/1000+(1000-ROW())/1000000</f>
        <v/>
      </c>
    </row>
  </sheetData>
  <autoFilter ref="A1:H40"/>
  <dataValidations count="1">
    <dataValidation sqref="D2:D500" showDropDown="0" showInputMessage="0" showErrorMessage="0" allowBlank="1" type="list">
      <formula1>"Assessoria SST,Empresa – RH/DP,Empresa – Financeiro,Empresa – Operação/Manutenção,Compartilhado (Empresa + SST)"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22" customWidth="1" min="4" max="4"/>
    <col width="36" customWidth="1" min="5" max="5"/>
    <col width="8" customWidth="1" min="6" max="6"/>
    <col width="18" customWidth="1" min="7" max="7"/>
    <col width="24" customWidth="1" min="8" max="8"/>
    <col width="26" customWidth="1" min="9" max="9"/>
    <col width="12" customWidth="1" min="10" max="10"/>
    <col width="12" customWidth="1" min="11" max="11"/>
    <col width="11" customWidth="1" min="12" max="12"/>
    <col width="16" customWidth="1" min="13" max="13"/>
    <col width="30" customWidth="1" min="14" max="14"/>
    <col width="20" customWidth="1" min="15" max="15"/>
    <col width="16" customWidth="1" min="16" max="16"/>
    <col width="7" customWidth="1" min="17" max="17"/>
    <col width="12" customWidth="1" min="18" max="18"/>
    <col width="60" customWidth="1" min="19" max="19"/>
  </cols>
  <sheetData>
    <row r="1" ht="32" customHeight="1">
      <c r="A1" s="4" t="inlineStr">
        <is>
          <t>ID</t>
        </is>
      </c>
      <c r="B1" s="4" t="inlineStr">
        <is>
          <t>Cliente</t>
        </is>
      </c>
      <c r="C1" s="4" t="inlineStr">
        <is>
          <t>Razão social</t>
        </is>
      </c>
      <c r="D1" s="4" t="inlineStr">
        <is>
          <t>CNPJ</t>
        </is>
      </c>
      <c r="E1" s="4" t="inlineStr">
        <is>
          <t>Estabelecimento / local</t>
        </is>
      </c>
      <c r="F1" s="4" t="inlineStr">
        <is>
          <t>Órgão</t>
        </is>
      </c>
      <c r="G1" s="4" t="inlineStr">
        <is>
          <t>Tipo</t>
        </is>
      </c>
      <c r="H1" s="4" t="inlineStr">
        <is>
          <t>Nº da notificação</t>
        </is>
      </c>
      <c r="I1" s="4" t="inlineStr">
        <is>
          <t>Processo / relatório</t>
        </is>
      </c>
      <c r="J1" s="4" t="inlineStr">
        <is>
          <t>Recebida em</t>
        </is>
      </c>
      <c r="K1" s="4" t="inlineStr">
        <is>
          <t>Prazo</t>
        </is>
      </c>
      <c r="L1" s="4" t="inlineStr">
        <is>
          <t>Dias para o prazo</t>
        </is>
      </c>
      <c r="M1" s="4" t="inlineStr">
        <is>
          <t>Meio de envio</t>
        </is>
      </c>
      <c r="N1" s="4" t="inlineStr">
        <is>
          <t>Auditor(es) / procurador</t>
        </is>
      </c>
      <c r="O1" s="4" t="inlineStr">
        <is>
          <t>Arquivo de origem</t>
        </is>
      </c>
      <c r="P1" s="4" t="inlineStr">
        <is>
          <t>Qualidade da leitura</t>
        </is>
      </c>
      <c r="Q1" s="4" t="inlineStr">
        <is>
          <t>Itens</t>
        </is>
      </c>
      <c r="R1" s="4" t="inlineStr">
        <is>
          <t>Itens pendentes / a confirmar</t>
        </is>
      </c>
      <c r="S1" s="4" t="inlineStr">
        <is>
          <t>Observações</t>
        </is>
      </c>
    </row>
    <row r="2">
      <c r="A2" s="17" t="inlineStr">
        <is>
          <t>N-001</t>
        </is>
      </c>
      <c r="B2" s="17" t="inlineStr">
        <is>
          <t>Rede Total (Mix Concórdia)</t>
        </is>
      </c>
      <c r="C2" s="17" t="inlineStr">
        <is>
          <t>MIX CONCORDIA COMERCIAL LTDA</t>
        </is>
      </c>
      <c r="D2" s="17" t="inlineStr">
        <is>
          <t>38.493.415/0001-17</t>
        </is>
      </c>
      <c r="E2" s="17" t="inlineStr">
        <is>
          <t>Av. Raul Seixas, 2602 – Santa Helena, Dias d'Ávila/BA</t>
        </is>
      </c>
      <c r="F2" s="17" t="inlineStr">
        <is>
          <t>MTE</t>
        </is>
      </c>
      <c r="G2" s="17" t="inlineStr">
        <is>
          <t>NAD</t>
        </is>
      </c>
      <c r="H2" s="17" t="inlineStr">
        <is>
          <t>2LUHCWTBG9YZ5F</t>
        </is>
      </c>
      <c r="I2" s="17" t="inlineStr">
        <is>
          <t>Relatório de Inspeção 319087492</t>
        </is>
      </c>
      <c r="J2" s="18" t="n">
        <v>45979</v>
      </c>
      <c r="K2" s="18" t="n">
        <v>45989</v>
      </c>
      <c r="L2" s="17">
        <f>IF(R2=0,"Concluída",K2-TODAY())</f>
        <v/>
      </c>
      <c r="M2" s="17" t="inlineStr">
        <is>
          <t>DET</t>
        </is>
      </c>
      <c r="N2" s="17" t="inlineStr">
        <is>
          <t>AFT Silvana Maria Cardim de Almeida e outros</t>
        </is>
      </c>
      <c r="O2" s="17" t="inlineStr">
        <is>
          <t>PDF escaneado (CamScanner)</t>
        </is>
      </c>
      <c r="P2" s="17" t="inlineStr">
        <is>
          <t>Boa</t>
        </is>
      </c>
      <c r="Q2" s="17">
        <f>COUNTIF(Itens!$A:$A,A2)</f>
        <v/>
      </c>
      <c r="R2" s="17">
        <f>COUNTIFS(Itens!$A:$A,A2,Itens!$I:$I,"Pendente")+COUNTIFS(Itens!$A:$A,A2,Itens!$I:$I,"Em andamento")+COUNTIFS(Itens!$A:$A,A2,Itens!$I:$I,"A confirmar")</f>
        <v/>
      </c>
      <c r="S2" s="17" t="inlineStr">
        <is>
          <t>Itens 27 a 30 manuscritos pelo auditor (exigências físicas, não só documentos).</t>
        </is>
      </c>
    </row>
    <row r="3">
      <c r="A3" s="17" t="inlineStr">
        <is>
          <t>N-002</t>
        </is>
      </c>
      <c r="B3" s="17" t="inlineStr">
        <is>
          <t>Mix Boca do Rio</t>
        </is>
      </c>
      <c r="C3" s="17" t="inlineStr">
        <is>
          <t>MIX BOCA DO RIO COM. DE ALIMENTOS LTDA</t>
        </is>
      </c>
      <c r="D3" s="17" t="inlineStr">
        <is>
          <t>17.26?.964/0001-?? (confirmar)</t>
        </is>
      </c>
      <c r="E3" s="17" t="inlineStr">
        <is>
          <t>Rua Des. Lineu Lapa(?) – Salvador/BA (confirmar)</t>
        </is>
      </c>
      <c r="F3" s="17" t="inlineStr">
        <is>
          <t>MTE</t>
        </is>
      </c>
      <c r="G3" s="17" t="inlineStr">
        <is>
          <t>NAD</t>
        </is>
      </c>
      <c r="H3" s="17" t="inlineStr">
        <is>
          <t>351350.0273??/2026 (confirmar)</t>
        </is>
      </c>
      <c r="I3" s="17" t="inlineStr">
        <is>
          <t>SRTb/BA – Seção de Segurança e Saúde</t>
        </is>
      </c>
      <c r="J3" s="18" t="n">
        <v>46104</v>
      </c>
      <c r="K3" s="18" t="n">
        <v>46111</v>
      </c>
      <c r="L3" s="17">
        <f>IF(R3=0,"Concluída",K3-TODAY())</f>
        <v/>
      </c>
      <c r="M3" s="17" t="inlineStr">
        <is>
          <t>E-mail (PDF por item)</t>
        </is>
      </c>
      <c r="N3" s="17" t="inlineStr">
        <is>
          <t>AFT Magna ... Ramos e AFT Ana Cristina C. Carvalho</t>
        </is>
      </c>
      <c r="O3" s="17" t="inlineStr">
        <is>
          <t>Foto (baixa resolução)</t>
        </is>
      </c>
      <c r="P3" s="17" t="inlineStr">
        <is>
          <t>Ruim – confirmar</t>
        </is>
      </c>
      <c r="Q3" s="17">
        <f>COUNTIF(Itens!$A:$A,A3)</f>
        <v/>
      </c>
      <c r="R3" s="17">
        <f>COUNTIFS(Itens!$A:$A,A3,Itens!$I:$I,"Pendente")+COUNTIFS(Itens!$A:$A,A3,Itens!$I:$I,"Em andamento")+COUNTIFS(Itens!$A:$A,A3,Itens!$I:$I,"A confirmar")</f>
        <v/>
      </c>
      <c r="S3" s="17" t="inlineStr">
        <is>
          <t>Prazo 30/03/2026 às 17h. Itens 09, 11, 16, 17, 23 e 24 parecem NÃO marcados – confirmar no original. Anotação manuscrita no item 18 ilegível.</t>
        </is>
      </c>
    </row>
    <row r="4">
      <c r="A4" s="17" t="inlineStr">
        <is>
          <t>N-003</t>
        </is>
      </c>
      <c r="B4" s="17" t="inlineStr">
        <is>
          <t>Mix Bahia – Lauro de Freitas</t>
        </is>
      </c>
      <c r="C4" s="17" t="inlineStr">
        <is>
          <t>SURPRESA COMERCIO DE GENEROS ALIMENTICIOS LTDA</t>
        </is>
      </c>
      <c r="D4" s="17" t="inlineStr">
        <is>
          <t>42.087.841/0002-09</t>
        </is>
      </c>
      <c r="E4" s="17" t="inlineStr">
        <is>
          <t>Av. Luiz Tarquínio Pontes, 2292 – Vilas do Atlântico, Lauro de Freitas/BA</t>
        </is>
      </c>
      <c r="F4" s="17" t="inlineStr">
        <is>
          <t>MPT</t>
        </is>
      </c>
      <c r="G4" s="17" t="inlineStr">
        <is>
          <t>Requisição em inquérito civil</t>
        </is>
      </c>
      <c r="H4" s="17" t="inlineStr">
        <is>
          <t>(sem nº – citada no despacho)</t>
        </is>
      </c>
      <c r="I4" s="17" t="inlineStr">
        <is>
          <t>IC 000565.2025.05.000/8</t>
        </is>
      </c>
      <c r="J4" s="18" t="n">
        <v>45931</v>
      </c>
      <c r="K4" s="18" t="n">
        <v>45957</v>
      </c>
      <c r="L4" s="17">
        <f>IF(R4=0,"Concluída",K4-TODAY())</f>
        <v/>
      </c>
      <c r="M4" s="17" t="inlineStr">
        <is>
          <t>Peticionamento MPT</t>
        </is>
      </c>
      <c r="N4" s="17" t="inlineStr">
        <is>
          <t>Procuradora Rosangela Rodrigues Dias de Lacerda</t>
        </is>
      </c>
      <c r="O4" s="17" t="inlineStr">
        <is>
          <t>Despacho 28/09/2026</t>
        </is>
      </c>
      <c r="P4" s="17" t="inlineStr">
        <is>
          <t>Boa</t>
        </is>
      </c>
      <c r="Q4" s="17">
        <f>COUNTIF(Itens!$A:$A,A4)</f>
        <v/>
      </c>
      <c r="R4" s="17">
        <f>COUNTIFS(Itens!$A:$A,A4,Itens!$I:$I,"Pendente")+COUNTIFS(Itens!$A:$A,A4,Itens!$I:$I,"Em andamento")+COUNTIFS(Itens!$A:$A,A4,Itens!$I:$I,"A confirmar")</f>
        <v/>
      </c>
      <c r="S4" s="17" t="inlineStr">
        <is>
          <t>Entregue em 27/10/2025, mas o PGR enviado era da MATRIZ (1 trabalhador) – o MPT considerou a filial sem PGR. Data de recebimento aproximada (inspeção out/2025).</t>
        </is>
      </c>
    </row>
    <row r="5">
      <c r="A5" s="17" t="inlineStr">
        <is>
          <t>N-004</t>
        </is>
      </c>
      <c r="B5" s="17" t="inlineStr">
        <is>
          <t>Mix Bahia – Lauro de Freitas</t>
        </is>
      </c>
      <c r="C5" s="17" t="inlineStr">
        <is>
          <t>SURPRESA COMERCIO DE GENEROS ALIMENTICIOS LTDA</t>
        </is>
      </c>
      <c r="D5" s="17" t="inlineStr">
        <is>
          <t>42.087.841/0002-09</t>
        </is>
      </c>
      <c r="E5" s="17" t="inlineStr">
        <is>
          <t>Av. Luiz Tarquínio Pontes, 2292 – Vilas do Atlântico, Lauro de Freitas/BA</t>
        </is>
      </c>
      <c r="F5" s="17" t="inlineStr">
        <is>
          <t>MPT</t>
        </is>
      </c>
      <c r="G5" s="17" t="inlineStr">
        <is>
          <t>Notificação em inquérito civil</t>
        </is>
      </c>
      <c r="H5" s="17" t="inlineStr">
        <is>
          <t>197515.2026</t>
        </is>
      </c>
      <c r="I5" s="17" t="inlineStr">
        <is>
          <t>IC 000565.2025.05.000/8</t>
        </is>
      </c>
      <c r="J5" s="18" t="n">
        <v>46304</v>
      </c>
      <c r="K5" s="18" t="n">
        <v>46334</v>
      </c>
      <c r="L5" s="17">
        <f>IF(R5=0,"Concluída",K5-TODAY())</f>
        <v/>
      </c>
      <c r="M5" s="17" t="inlineStr">
        <is>
          <t>Peticionamento MPT</t>
        </is>
      </c>
      <c r="N5" s="17" t="inlineStr">
        <is>
          <t>Procuradora Marina Rocha Pimenta (despacho) / Rosangela R. D. de Lacerda</t>
        </is>
      </c>
      <c r="O5" s="17" t="inlineStr">
        <is>
          <t>PDF digital</t>
        </is>
      </c>
      <c r="P5" s="17" t="inlineStr">
        <is>
          <t>Boa</t>
        </is>
      </c>
      <c r="Q5" s="17">
        <f>COUNTIF(Itens!$A:$A,A5)</f>
        <v/>
      </c>
      <c r="R5" s="17">
        <f>COUNTIFS(Itens!$A:$A,A5,Itens!$I:$I,"Pendente")+COUNTIFS(Itens!$A:$A,A5,Itens!$I:$I,"Em andamento")+COUNTIFS(Itens!$A:$A,A5,Itens!$I:$I,"A confirmar")</f>
        <v/>
      </c>
      <c r="S5" s="17" t="inlineStr">
        <is>
          <t>Enviada em 29/09/2026; considerada recebida 10 dias após o envio. Prazo de 30 dias ESTIMADO – confirmar contagem. Origem: denúncia Disque 100 + perícia de 22/09/2026.</t>
        </is>
      </c>
    </row>
    <row r="6">
      <c r="A6" s="17" t="inlineStr">
        <is>
          <t>N-005</t>
        </is>
      </c>
      <c r="B6" s="17" t="inlineStr">
        <is>
          <t>Super Diesel</t>
        </is>
      </c>
      <c r="C6" s="17" t="inlineStr">
        <is>
          <t>ALAN SILVA BASTOS DOS SANTOS LTDA</t>
        </is>
      </c>
      <c r="D6" s="17" t="inlineStr">
        <is>
          <t>31.163.099/0001-76</t>
        </is>
      </c>
      <c r="E6" s="17" t="inlineStr">
        <is>
          <t>Rodovia BR 324 – Pirajá, Salvador/BA</t>
        </is>
      </c>
      <c r="F6" s="17" t="inlineStr">
        <is>
          <t>MTE</t>
        </is>
      </c>
      <c r="G6" s="17" t="inlineStr">
        <is>
          <t>NAD</t>
        </is>
      </c>
      <c r="H6" s="17" t="inlineStr">
        <is>
          <t>RNVHMXJZJ84KFI</t>
        </is>
      </c>
      <c r="I6" s="17" t="inlineStr">
        <is>
          <t>Relatório de Inspeção 321220480</t>
        </is>
      </c>
      <c r="J6" s="18" t="n">
        <v>46303</v>
      </c>
      <c r="K6" s="18" t="n">
        <v>46318</v>
      </c>
      <c r="L6" s="17">
        <f>IF(R6=0,"Concluída",K6-TODAY())</f>
        <v/>
      </c>
      <c r="M6" s="17" t="inlineStr">
        <is>
          <t>DET</t>
        </is>
      </c>
      <c r="N6" s="17" t="inlineStr">
        <is>
          <t>AFT Marcel Guerra e AFT Anilton Cerqueira</t>
        </is>
      </c>
      <c r="O6" s="17" t="inlineStr">
        <is>
          <t>PDF escaneado</t>
        </is>
      </c>
      <c r="P6" s="17" t="inlineStr">
        <is>
          <t>Boa (manuscrito legível)</t>
        </is>
      </c>
      <c r="Q6" s="17">
        <f>COUNTIF(Itens!$A:$A,A6)</f>
        <v/>
      </c>
      <c r="R6" s="17">
        <f>COUNTIFS(Itens!$A:$A,A6,Itens!$I:$I,"Pendente")+COUNTIFS(Itens!$A:$A,A6,Itens!$I:$I,"Em andamento")+COUNTIFS(Itens!$A:$A,A6,Itens!$I:$I,"A confirmar")</f>
        <v/>
      </c>
      <c r="S6" s="17" t="inlineStr">
        <is>
          <t>Data de recebimento lida do arquivo – confirmar. Exigência manuscrita de adequações NR-12 com relatório fotográfico.</t>
        </is>
      </c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8" t="n"/>
      <c r="K7" s="18" t="n"/>
      <c r="L7" s="17" t="n"/>
      <c r="M7" s="17" t="n"/>
      <c r="N7" s="17" t="n"/>
      <c r="O7" s="17" t="n"/>
      <c r="P7" s="17" t="n"/>
      <c r="Q7" s="17" t="n"/>
      <c r="R7" s="17" t="n"/>
      <c r="S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7" t="n"/>
      <c r="M8" s="17" t="n"/>
      <c r="N8" s="17" t="n"/>
      <c r="O8" s="17" t="n"/>
      <c r="P8" s="17" t="n"/>
      <c r="Q8" s="17" t="n"/>
      <c r="R8" s="17" t="n"/>
      <c r="S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8" t="n"/>
      <c r="K9" s="18" t="n"/>
      <c r="L9" s="17" t="n"/>
      <c r="M9" s="17" t="n"/>
      <c r="N9" s="17" t="n"/>
      <c r="O9" s="17" t="n"/>
      <c r="P9" s="17" t="n"/>
      <c r="Q9" s="17" t="n"/>
      <c r="R9" s="17" t="n"/>
      <c r="S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7" t="n"/>
      <c r="M10" s="17" t="n"/>
      <c r="N10" s="17" t="n"/>
      <c r="O10" s="17" t="n"/>
      <c r="P10" s="17" t="n"/>
      <c r="Q10" s="17" t="n"/>
      <c r="R10" s="17" t="n"/>
      <c r="S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8" t="n"/>
      <c r="K11" s="18" t="n"/>
      <c r="L11" s="17" t="n"/>
      <c r="M11" s="17" t="n"/>
      <c r="N11" s="17" t="n"/>
      <c r="O11" s="17" t="n"/>
      <c r="P11" s="17" t="n"/>
      <c r="Q11" s="17" t="n"/>
      <c r="R11" s="17" t="n"/>
      <c r="S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7" t="n"/>
      <c r="M12" s="17" t="n"/>
      <c r="N12" s="17" t="n"/>
      <c r="O12" s="17" t="n"/>
      <c r="P12" s="17" t="n"/>
      <c r="Q12" s="17" t="n"/>
      <c r="R12" s="17" t="n"/>
      <c r="S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8" t="n"/>
      <c r="K13" s="18" t="n"/>
      <c r="L13" s="17" t="n"/>
      <c r="M13" s="17" t="n"/>
      <c r="N13" s="17" t="n"/>
      <c r="O13" s="17" t="n"/>
      <c r="P13" s="17" t="n"/>
      <c r="Q13" s="17" t="n"/>
      <c r="R13" s="17" t="n"/>
      <c r="S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7" t="n"/>
      <c r="M14" s="17" t="n"/>
      <c r="N14" s="17" t="n"/>
      <c r="O14" s="17" t="n"/>
      <c r="P14" s="17" t="n"/>
      <c r="Q14" s="17" t="n"/>
      <c r="R14" s="17" t="n"/>
      <c r="S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8" t="n"/>
      <c r="K15" s="18" t="n"/>
      <c r="L15" s="17" t="n"/>
      <c r="M15" s="17" t="n"/>
      <c r="N15" s="17" t="n"/>
      <c r="O15" s="17" t="n"/>
      <c r="P15" s="17" t="n"/>
      <c r="Q15" s="17" t="n"/>
      <c r="R15" s="17" t="n"/>
      <c r="S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7" t="n"/>
      <c r="M16" s="17" t="n"/>
      <c r="N16" s="17" t="n"/>
      <c r="O16" s="17" t="n"/>
      <c r="P16" s="17" t="n"/>
      <c r="Q16" s="17" t="n"/>
      <c r="R16" s="17" t="n"/>
      <c r="S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8" t="n"/>
      <c r="K17" s="18" t="n"/>
      <c r="L17" s="17" t="n"/>
      <c r="M17" s="17" t="n"/>
      <c r="N17" s="17" t="n"/>
      <c r="O17" s="17" t="n"/>
      <c r="P17" s="17" t="n"/>
      <c r="Q17" s="17" t="n"/>
      <c r="R17" s="17" t="n"/>
      <c r="S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7" t="n"/>
      <c r="M18" s="17" t="n"/>
      <c r="N18" s="17" t="n"/>
      <c r="O18" s="17" t="n"/>
      <c r="P18" s="17" t="n"/>
      <c r="Q18" s="17" t="n"/>
      <c r="R18" s="17" t="n"/>
      <c r="S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8" t="n"/>
      <c r="K19" s="18" t="n"/>
      <c r="L19" s="17" t="n"/>
      <c r="M19" s="17" t="n"/>
      <c r="N19" s="17" t="n"/>
      <c r="O19" s="17" t="n"/>
      <c r="P19" s="17" t="n"/>
      <c r="Q19" s="17" t="n"/>
      <c r="R19" s="17" t="n"/>
      <c r="S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7" t="n"/>
      <c r="M20" s="17" t="n"/>
      <c r="N20" s="17" t="n"/>
      <c r="O20" s="17" t="n"/>
      <c r="P20" s="17" t="n"/>
      <c r="Q20" s="17" t="n"/>
      <c r="R20" s="17" t="n"/>
      <c r="S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8" t="n"/>
      <c r="K21" s="18" t="n"/>
      <c r="L21" s="17" t="n"/>
      <c r="M21" s="17" t="n"/>
      <c r="N21" s="17" t="n"/>
      <c r="O21" s="17" t="n"/>
      <c r="P21" s="17" t="n"/>
      <c r="Q21" s="17" t="n"/>
      <c r="R21" s="17" t="n"/>
      <c r="S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7" t="n"/>
      <c r="M22" s="17" t="n"/>
      <c r="N22" s="17" t="n"/>
      <c r="O22" s="17" t="n"/>
      <c r="P22" s="17" t="n"/>
      <c r="Q22" s="17" t="n"/>
      <c r="R22" s="17" t="n"/>
      <c r="S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8" t="n"/>
      <c r="K23" s="18" t="n"/>
      <c r="L23" s="17" t="n"/>
      <c r="M23" s="17" t="n"/>
      <c r="N23" s="17" t="n"/>
      <c r="O23" s="17" t="n"/>
      <c r="P23" s="17" t="n"/>
      <c r="Q23" s="17" t="n"/>
      <c r="R23" s="17" t="n"/>
      <c r="S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7" t="n"/>
      <c r="M24" s="17" t="n"/>
      <c r="N24" s="17" t="n"/>
      <c r="O24" s="17" t="n"/>
      <c r="P24" s="17" t="n"/>
      <c r="Q24" s="17" t="n"/>
      <c r="R24" s="17" t="n"/>
      <c r="S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8" t="n"/>
      <c r="K25" s="18" t="n"/>
      <c r="L25" s="17" t="n"/>
      <c r="M25" s="17" t="n"/>
      <c r="N25" s="17" t="n"/>
      <c r="O25" s="17" t="n"/>
      <c r="P25" s="17" t="n"/>
      <c r="Q25" s="17" t="n"/>
      <c r="R25" s="17" t="n"/>
      <c r="S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7" t="n"/>
      <c r="M26" s="17" t="n"/>
      <c r="N26" s="17" t="n"/>
      <c r="O26" s="17" t="n"/>
      <c r="P26" s="17" t="n"/>
      <c r="Q26" s="17" t="n"/>
      <c r="R26" s="17" t="n"/>
      <c r="S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8" t="n"/>
      <c r="K27" s="18" t="n"/>
      <c r="L27" s="17" t="n"/>
      <c r="M27" s="17" t="n"/>
      <c r="N27" s="17" t="n"/>
      <c r="O27" s="17" t="n"/>
      <c r="P27" s="17" t="n"/>
      <c r="Q27" s="17" t="n"/>
      <c r="R27" s="17" t="n"/>
      <c r="S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7" t="n"/>
      <c r="M28" s="17" t="n"/>
      <c r="N28" s="17" t="n"/>
      <c r="O28" s="17" t="n"/>
      <c r="P28" s="17" t="n"/>
      <c r="Q28" s="17" t="n"/>
      <c r="R28" s="17" t="n"/>
      <c r="S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8" t="n"/>
      <c r="K29" s="18" t="n"/>
      <c r="L29" s="17" t="n"/>
      <c r="M29" s="17" t="n"/>
      <c r="N29" s="17" t="n"/>
      <c r="O29" s="17" t="n"/>
      <c r="P29" s="17" t="n"/>
      <c r="Q29" s="17" t="n"/>
      <c r="R29" s="17" t="n"/>
      <c r="S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7" t="n"/>
      <c r="M30" s="17" t="n"/>
      <c r="N30" s="17" t="n"/>
      <c r="O30" s="17" t="n"/>
      <c r="P30" s="17" t="n"/>
      <c r="Q30" s="17" t="n"/>
      <c r="R30" s="17" t="n"/>
      <c r="S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8" t="n"/>
      <c r="K31" s="18" t="n"/>
      <c r="L31" s="17" t="n"/>
      <c r="M31" s="17" t="n"/>
      <c r="N31" s="17" t="n"/>
      <c r="O31" s="17" t="n"/>
      <c r="P31" s="17" t="n"/>
      <c r="Q31" s="17" t="n"/>
      <c r="R31" s="17" t="n"/>
      <c r="S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7" t="n"/>
      <c r="M32" s="17" t="n"/>
      <c r="N32" s="17" t="n"/>
      <c r="O32" s="17" t="n"/>
      <c r="P32" s="17" t="n"/>
      <c r="Q32" s="17" t="n"/>
      <c r="R32" s="17" t="n"/>
      <c r="S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8" t="n"/>
      <c r="K33" s="18" t="n"/>
      <c r="L33" s="17" t="n"/>
      <c r="M33" s="17" t="n"/>
      <c r="N33" s="17" t="n"/>
      <c r="O33" s="17" t="n"/>
      <c r="P33" s="17" t="n"/>
      <c r="Q33" s="17" t="n"/>
      <c r="R33" s="17" t="n"/>
      <c r="S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7" t="n"/>
      <c r="M34" s="17" t="n"/>
      <c r="N34" s="17" t="n"/>
      <c r="O34" s="17" t="n"/>
      <c r="P34" s="17" t="n"/>
      <c r="Q34" s="17" t="n"/>
      <c r="R34" s="17" t="n"/>
      <c r="S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8" t="n"/>
      <c r="K35" s="18" t="n"/>
      <c r="L35" s="17" t="n"/>
      <c r="M35" s="17" t="n"/>
      <c r="N35" s="17" t="n"/>
      <c r="O35" s="17" t="n"/>
      <c r="P35" s="17" t="n"/>
      <c r="Q35" s="17" t="n"/>
      <c r="R35" s="17" t="n"/>
      <c r="S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7" t="n"/>
      <c r="M36" s="17" t="n"/>
      <c r="N36" s="17" t="n"/>
      <c r="O36" s="17" t="n"/>
      <c r="P36" s="17" t="n"/>
      <c r="Q36" s="17" t="n"/>
      <c r="R36" s="17" t="n"/>
      <c r="S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8" t="n"/>
      <c r="K37" s="18" t="n"/>
      <c r="L37" s="17" t="n"/>
      <c r="M37" s="17" t="n"/>
      <c r="N37" s="17" t="n"/>
      <c r="O37" s="17" t="n"/>
      <c r="P37" s="17" t="n"/>
      <c r="Q37" s="17" t="n"/>
      <c r="R37" s="17" t="n"/>
      <c r="S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7" t="n"/>
      <c r="M38" s="17" t="n"/>
      <c r="N38" s="17" t="n"/>
      <c r="O38" s="17" t="n"/>
      <c r="P38" s="17" t="n"/>
      <c r="Q38" s="17" t="n"/>
      <c r="R38" s="17" t="n"/>
      <c r="S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8" t="n"/>
      <c r="K39" s="18" t="n"/>
      <c r="L39" s="17" t="n"/>
      <c r="M39" s="17" t="n"/>
      <c r="N39" s="17" t="n"/>
      <c r="O39" s="17" t="n"/>
      <c r="P39" s="17" t="n"/>
      <c r="Q39" s="17" t="n"/>
      <c r="R39" s="17" t="n"/>
      <c r="S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7" t="n"/>
      <c r="M40" s="17" t="n"/>
      <c r="N40" s="17" t="n"/>
      <c r="O40" s="17" t="n"/>
      <c r="P40" s="17" t="n"/>
      <c r="Q40" s="17" t="n"/>
      <c r="R40" s="17" t="n"/>
      <c r="S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8" t="n"/>
      <c r="K41" s="18" t="n"/>
      <c r="L41" s="17" t="n"/>
      <c r="M41" s="17" t="n"/>
      <c r="N41" s="17" t="n"/>
      <c r="O41" s="17" t="n"/>
      <c r="P41" s="17" t="n"/>
      <c r="Q41" s="17" t="n"/>
      <c r="R41" s="17" t="n"/>
      <c r="S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7" t="n"/>
      <c r="M42" s="17" t="n"/>
      <c r="N42" s="17" t="n"/>
      <c r="O42" s="17" t="n"/>
      <c r="P42" s="17" t="n"/>
      <c r="Q42" s="17" t="n"/>
      <c r="R42" s="17" t="n"/>
      <c r="S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8" t="n"/>
      <c r="K43" s="18" t="n"/>
      <c r="L43" s="17" t="n"/>
      <c r="M43" s="17" t="n"/>
      <c r="N43" s="17" t="n"/>
      <c r="O43" s="17" t="n"/>
      <c r="P43" s="17" t="n"/>
      <c r="Q43" s="17" t="n"/>
      <c r="R43" s="17" t="n"/>
      <c r="S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7" t="n"/>
      <c r="M44" s="17" t="n"/>
      <c r="N44" s="17" t="n"/>
      <c r="O44" s="17" t="n"/>
      <c r="P44" s="17" t="n"/>
      <c r="Q44" s="17" t="n"/>
      <c r="R44" s="17" t="n"/>
      <c r="S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8" t="n"/>
      <c r="K45" s="18" t="n"/>
      <c r="L45" s="17" t="n"/>
      <c r="M45" s="17" t="n"/>
      <c r="N45" s="17" t="n"/>
      <c r="O45" s="17" t="n"/>
      <c r="P45" s="17" t="n"/>
      <c r="Q45" s="17" t="n"/>
      <c r="R45" s="17" t="n"/>
      <c r="S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7" t="n"/>
      <c r="M46" s="17" t="n"/>
      <c r="N46" s="17" t="n"/>
      <c r="O46" s="17" t="n"/>
      <c r="P46" s="17" t="n"/>
      <c r="Q46" s="17" t="n"/>
      <c r="R46" s="17" t="n"/>
      <c r="S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8" t="n"/>
      <c r="K47" s="18" t="n"/>
      <c r="L47" s="17" t="n"/>
      <c r="M47" s="17" t="n"/>
      <c r="N47" s="17" t="n"/>
      <c r="O47" s="17" t="n"/>
      <c r="P47" s="17" t="n"/>
      <c r="Q47" s="17" t="n"/>
      <c r="R47" s="17" t="n"/>
      <c r="S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7" t="n"/>
      <c r="M48" s="17" t="n"/>
      <c r="N48" s="17" t="n"/>
      <c r="O48" s="17" t="n"/>
      <c r="P48" s="17" t="n"/>
      <c r="Q48" s="17" t="n"/>
      <c r="R48" s="17" t="n"/>
      <c r="S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8" t="n"/>
      <c r="K49" s="18" t="n"/>
      <c r="L49" s="17" t="n"/>
      <c r="M49" s="17" t="n"/>
      <c r="N49" s="17" t="n"/>
      <c r="O49" s="17" t="n"/>
      <c r="P49" s="17" t="n"/>
      <c r="Q49" s="17" t="n"/>
      <c r="R49" s="17" t="n"/>
      <c r="S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7" t="n"/>
      <c r="M50" s="17" t="n"/>
      <c r="N50" s="17" t="n"/>
      <c r="O50" s="17" t="n"/>
      <c r="P50" s="17" t="n"/>
      <c r="Q50" s="17" t="n"/>
      <c r="R50" s="17" t="n"/>
      <c r="S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8" t="n"/>
      <c r="K51" s="18" t="n"/>
      <c r="L51" s="17" t="n"/>
      <c r="M51" s="17" t="n"/>
      <c r="N51" s="17" t="n"/>
      <c r="O51" s="17" t="n"/>
      <c r="P51" s="17" t="n"/>
      <c r="Q51" s="17" t="n"/>
      <c r="R51" s="17" t="n"/>
      <c r="S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7" t="n"/>
      <c r="M52" s="17" t="n"/>
      <c r="N52" s="17" t="n"/>
      <c r="O52" s="17" t="n"/>
      <c r="P52" s="17" t="n"/>
      <c r="Q52" s="17" t="n"/>
      <c r="R52" s="17" t="n"/>
      <c r="S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8" t="n"/>
      <c r="K53" s="18" t="n"/>
      <c r="L53" s="17" t="n"/>
      <c r="M53" s="17" t="n"/>
      <c r="N53" s="17" t="n"/>
      <c r="O53" s="17" t="n"/>
      <c r="P53" s="17" t="n"/>
      <c r="Q53" s="17" t="n"/>
      <c r="R53" s="17" t="n"/>
      <c r="S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7" t="n"/>
      <c r="M54" s="17" t="n"/>
      <c r="N54" s="17" t="n"/>
      <c r="O54" s="17" t="n"/>
      <c r="P54" s="17" t="n"/>
      <c r="Q54" s="17" t="n"/>
      <c r="R54" s="17" t="n"/>
      <c r="S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8" t="n"/>
      <c r="K55" s="18" t="n"/>
      <c r="L55" s="17" t="n"/>
      <c r="M55" s="17" t="n"/>
      <c r="N55" s="17" t="n"/>
      <c r="O55" s="17" t="n"/>
      <c r="P55" s="17" t="n"/>
      <c r="Q55" s="17" t="n"/>
      <c r="R55" s="17" t="n"/>
      <c r="S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7" t="n"/>
      <c r="M56" s="17" t="n"/>
      <c r="N56" s="17" t="n"/>
      <c r="O56" s="17" t="n"/>
      <c r="P56" s="17" t="n"/>
      <c r="Q56" s="17" t="n"/>
      <c r="R56" s="17" t="n"/>
      <c r="S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8" t="n"/>
      <c r="K57" s="18" t="n"/>
      <c r="L57" s="17" t="n"/>
      <c r="M57" s="17" t="n"/>
      <c r="N57" s="17" t="n"/>
      <c r="O57" s="17" t="n"/>
      <c r="P57" s="17" t="n"/>
      <c r="Q57" s="17" t="n"/>
      <c r="R57" s="17" t="n"/>
      <c r="S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7" t="n"/>
      <c r="M58" s="17" t="n"/>
      <c r="N58" s="17" t="n"/>
      <c r="O58" s="17" t="n"/>
      <c r="P58" s="17" t="n"/>
      <c r="Q58" s="17" t="n"/>
      <c r="R58" s="17" t="n"/>
      <c r="S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8" t="n"/>
      <c r="K59" s="18" t="n"/>
      <c r="L59" s="17" t="n"/>
      <c r="M59" s="17" t="n"/>
      <c r="N59" s="17" t="n"/>
      <c r="O59" s="17" t="n"/>
      <c r="P59" s="17" t="n"/>
      <c r="Q59" s="17" t="n"/>
      <c r="R59" s="17" t="n"/>
      <c r="S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7" t="n"/>
      <c r="M60" s="17" t="n"/>
      <c r="N60" s="17" t="n"/>
      <c r="O60" s="17" t="n"/>
      <c r="P60" s="17" t="n"/>
      <c r="Q60" s="17" t="n"/>
      <c r="R60" s="17" t="n"/>
      <c r="S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8" t="n"/>
      <c r="K61" s="18" t="n"/>
      <c r="L61" s="17" t="n"/>
      <c r="M61" s="17" t="n"/>
      <c r="N61" s="17" t="n"/>
      <c r="O61" s="17" t="n"/>
      <c r="P61" s="17" t="n"/>
      <c r="Q61" s="17" t="n"/>
      <c r="R61" s="17" t="n"/>
      <c r="S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7" t="n"/>
      <c r="M62" s="17" t="n"/>
      <c r="N62" s="17" t="n"/>
      <c r="O62" s="17" t="n"/>
      <c r="P62" s="17" t="n"/>
      <c r="Q62" s="17" t="n"/>
      <c r="R62" s="17" t="n"/>
      <c r="S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8" t="n"/>
      <c r="K63" s="18" t="n"/>
      <c r="L63" s="17" t="n"/>
      <c r="M63" s="17" t="n"/>
      <c r="N63" s="17" t="n"/>
      <c r="O63" s="17" t="n"/>
      <c r="P63" s="17" t="n"/>
      <c r="Q63" s="17" t="n"/>
      <c r="R63" s="17" t="n"/>
      <c r="S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7" t="n"/>
      <c r="M64" s="17" t="n"/>
      <c r="N64" s="17" t="n"/>
      <c r="O64" s="17" t="n"/>
      <c r="P64" s="17" t="n"/>
      <c r="Q64" s="17" t="n"/>
      <c r="R64" s="17" t="n"/>
      <c r="S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8" t="n"/>
      <c r="K65" s="18" t="n"/>
      <c r="L65" s="17" t="n"/>
      <c r="M65" s="17" t="n"/>
      <c r="N65" s="17" t="n"/>
      <c r="O65" s="17" t="n"/>
      <c r="P65" s="17" t="n"/>
      <c r="Q65" s="17" t="n"/>
      <c r="R65" s="17" t="n"/>
      <c r="S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7" t="n"/>
      <c r="M66" s="17" t="n"/>
      <c r="N66" s="17" t="n"/>
      <c r="O66" s="17" t="n"/>
      <c r="P66" s="17" t="n"/>
      <c r="Q66" s="17" t="n"/>
      <c r="R66" s="17" t="n"/>
      <c r="S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8" t="n"/>
      <c r="K67" s="18" t="n"/>
      <c r="L67" s="17" t="n"/>
      <c r="M67" s="17" t="n"/>
      <c r="N67" s="17" t="n"/>
      <c r="O67" s="17" t="n"/>
      <c r="P67" s="17" t="n"/>
      <c r="Q67" s="17" t="n"/>
      <c r="R67" s="17" t="n"/>
      <c r="S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7" t="n"/>
      <c r="M68" s="17" t="n"/>
      <c r="N68" s="17" t="n"/>
      <c r="O68" s="17" t="n"/>
      <c r="P68" s="17" t="n"/>
      <c r="Q68" s="17" t="n"/>
      <c r="R68" s="17" t="n"/>
      <c r="S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8" t="n"/>
      <c r="K69" s="18" t="n"/>
      <c r="L69" s="17" t="n"/>
      <c r="M69" s="17" t="n"/>
      <c r="N69" s="17" t="n"/>
      <c r="O69" s="17" t="n"/>
      <c r="P69" s="17" t="n"/>
      <c r="Q69" s="17" t="n"/>
      <c r="R69" s="17" t="n"/>
      <c r="S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7" t="n"/>
      <c r="M70" s="17" t="n"/>
      <c r="N70" s="17" t="n"/>
      <c r="O70" s="17" t="n"/>
      <c r="P70" s="17" t="n"/>
      <c r="Q70" s="17" t="n"/>
      <c r="R70" s="17" t="n"/>
      <c r="S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8" t="n"/>
      <c r="K71" s="18" t="n"/>
      <c r="L71" s="17" t="n"/>
      <c r="M71" s="17" t="n"/>
      <c r="N71" s="17" t="n"/>
      <c r="O71" s="17" t="n"/>
      <c r="P71" s="17" t="n"/>
      <c r="Q71" s="17" t="n"/>
      <c r="R71" s="17" t="n"/>
      <c r="S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7" t="n"/>
      <c r="M72" s="17" t="n"/>
      <c r="N72" s="17" t="n"/>
      <c r="O72" s="17" t="n"/>
      <c r="P72" s="17" t="n"/>
      <c r="Q72" s="17" t="n"/>
      <c r="R72" s="17" t="n"/>
      <c r="S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8" t="n"/>
      <c r="K73" s="18" t="n"/>
      <c r="L73" s="17" t="n"/>
      <c r="M73" s="17" t="n"/>
      <c r="N73" s="17" t="n"/>
      <c r="O73" s="17" t="n"/>
      <c r="P73" s="17" t="n"/>
      <c r="Q73" s="17" t="n"/>
      <c r="R73" s="17" t="n"/>
      <c r="S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7" t="n"/>
      <c r="M74" s="17" t="n"/>
      <c r="N74" s="17" t="n"/>
      <c r="O74" s="17" t="n"/>
      <c r="P74" s="17" t="n"/>
      <c r="Q74" s="17" t="n"/>
      <c r="R74" s="17" t="n"/>
      <c r="S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8" t="n"/>
      <c r="K75" s="18" t="n"/>
      <c r="L75" s="17" t="n"/>
      <c r="M75" s="17" t="n"/>
      <c r="N75" s="17" t="n"/>
      <c r="O75" s="17" t="n"/>
      <c r="P75" s="17" t="n"/>
      <c r="Q75" s="17" t="n"/>
      <c r="R75" s="17" t="n"/>
      <c r="S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7" t="n"/>
      <c r="M76" s="17" t="n"/>
      <c r="N76" s="17" t="n"/>
      <c r="O76" s="17" t="n"/>
      <c r="P76" s="17" t="n"/>
      <c r="Q76" s="17" t="n"/>
      <c r="R76" s="17" t="n"/>
      <c r="S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8" t="n"/>
      <c r="K77" s="18" t="n"/>
      <c r="L77" s="17" t="n"/>
      <c r="M77" s="17" t="n"/>
      <c r="N77" s="17" t="n"/>
      <c r="O77" s="17" t="n"/>
      <c r="P77" s="17" t="n"/>
      <c r="Q77" s="17" t="n"/>
      <c r="R77" s="17" t="n"/>
      <c r="S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7" t="n"/>
      <c r="M78" s="17" t="n"/>
      <c r="N78" s="17" t="n"/>
      <c r="O78" s="17" t="n"/>
      <c r="P78" s="17" t="n"/>
      <c r="Q78" s="17" t="n"/>
      <c r="R78" s="17" t="n"/>
      <c r="S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8" t="n"/>
      <c r="K79" s="18" t="n"/>
      <c r="L79" s="17" t="n"/>
      <c r="M79" s="17" t="n"/>
      <c r="N79" s="17" t="n"/>
      <c r="O79" s="17" t="n"/>
      <c r="P79" s="17" t="n"/>
      <c r="Q79" s="17" t="n"/>
      <c r="R79" s="17" t="n"/>
      <c r="S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7" t="n"/>
      <c r="M80" s="17" t="n"/>
      <c r="N80" s="17" t="n"/>
      <c r="O80" s="17" t="n"/>
      <c r="P80" s="17" t="n"/>
      <c r="Q80" s="17" t="n"/>
      <c r="R80" s="17" t="n"/>
      <c r="S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8" t="n"/>
      <c r="K81" s="18" t="n"/>
      <c r="L81" s="17" t="n"/>
      <c r="M81" s="17" t="n"/>
      <c r="N81" s="17" t="n"/>
      <c r="O81" s="17" t="n"/>
      <c r="P81" s="17" t="n"/>
      <c r="Q81" s="17" t="n"/>
      <c r="R81" s="17" t="n"/>
      <c r="S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7" t="n"/>
      <c r="M82" s="17" t="n"/>
      <c r="N82" s="17" t="n"/>
      <c r="O82" s="17" t="n"/>
      <c r="P82" s="17" t="n"/>
      <c r="Q82" s="17" t="n"/>
      <c r="R82" s="17" t="n"/>
      <c r="S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8" t="n"/>
      <c r="K83" s="18" t="n"/>
      <c r="L83" s="17" t="n"/>
      <c r="M83" s="17" t="n"/>
      <c r="N83" s="17" t="n"/>
      <c r="O83" s="17" t="n"/>
      <c r="P83" s="17" t="n"/>
      <c r="Q83" s="17" t="n"/>
      <c r="R83" s="17" t="n"/>
      <c r="S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7" t="n"/>
      <c r="M84" s="17" t="n"/>
      <c r="N84" s="17" t="n"/>
      <c r="O84" s="17" t="n"/>
      <c r="P84" s="17" t="n"/>
      <c r="Q84" s="17" t="n"/>
      <c r="R84" s="17" t="n"/>
      <c r="S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8" t="n"/>
      <c r="K85" s="18" t="n"/>
      <c r="L85" s="17" t="n"/>
      <c r="M85" s="17" t="n"/>
      <c r="N85" s="17" t="n"/>
      <c r="O85" s="17" t="n"/>
      <c r="P85" s="17" t="n"/>
      <c r="Q85" s="17" t="n"/>
      <c r="R85" s="17" t="n"/>
      <c r="S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7" t="n"/>
      <c r="M86" s="17" t="n"/>
      <c r="N86" s="17" t="n"/>
      <c r="O86" s="17" t="n"/>
      <c r="P86" s="17" t="n"/>
      <c r="Q86" s="17" t="n"/>
      <c r="R86" s="17" t="n"/>
      <c r="S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8" t="n"/>
      <c r="K87" s="18" t="n"/>
      <c r="L87" s="17" t="n"/>
      <c r="M87" s="17" t="n"/>
      <c r="N87" s="17" t="n"/>
      <c r="O87" s="17" t="n"/>
      <c r="P87" s="17" t="n"/>
      <c r="Q87" s="17" t="n"/>
      <c r="R87" s="17" t="n"/>
      <c r="S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7" t="n"/>
      <c r="M88" s="17" t="n"/>
      <c r="N88" s="17" t="n"/>
      <c r="O88" s="17" t="n"/>
      <c r="P88" s="17" t="n"/>
      <c r="Q88" s="17" t="n"/>
      <c r="R88" s="17" t="n"/>
      <c r="S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8" t="n"/>
      <c r="K89" s="18" t="n"/>
      <c r="L89" s="17" t="n"/>
      <c r="M89" s="17" t="n"/>
      <c r="N89" s="17" t="n"/>
      <c r="O89" s="17" t="n"/>
      <c r="P89" s="17" t="n"/>
      <c r="Q89" s="17" t="n"/>
      <c r="R89" s="17" t="n"/>
      <c r="S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7" t="n"/>
      <c r="M90" s="17" t="n"/>
      <c r="N90" s="17" t="n"/>
      <c r="O90" s="17" t="n"/>
      <c r="P90" s="17" t="n"/>
      <c r="Q90" s="17" t="n"/>
      <c r="R90" s="17" t="n"/>
      <c r="S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8" t="n"/>
      <c r="K91" s="18" t="n"/>
      <c r="L91" s="17" t="n"/>
      <c r="M91" s="17" t="n"/>
      <c r="N91" s="17" t="n"/>
      <c r="O91" s="17" t="n"/>
      <c r="P91" s="17" t="n"/>
      <c r="Q91" s="17" t="n"/>
      <c r="R91" s="17" t="n"/>
      <c r="S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7" t="n"/>
      <c r="M92" s="17" t="n"/>
      <c r="N92" s="17" t="n"/>
      <c r="O92" s="17" t="n"/>
      <c r="P92" s="17" t="n"/>
      <c r="Q92" s="17" t="n"/>
      <c r="R92" s="17" t="n"/>
      <c r="S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8" t="n"/>
      <c r="K93" s="18" t="n"/>
      <c r="L93" s="17" t="n"/>
      <c r="M93" s="17" t="n"/>
      <c r="N93" s="17" t="n"/>
      <c r="O93" s="17" t="n"/>
      <c r="P93" s="17" t="n"/>
      <c r="Q93" s="17" t="n"/>
      <c r="R93" s="17" t="n"/>
      <c r="S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7" t="n"/>
      <c r="M94" s="17" t="n"/>
      <c r="N94" s="17" t="n"/>
      <c r="O94" s="17" t="n"/>
      <c r="P94" s="17" t="n"/>
      <c r="Q94" s="17" t="n"/>
      <c r="R94" s="17" t="n"/>
      <c r="S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8" t="n"/>
      <c r="K95" s="18" t="n"/>
      <c r="L95" s="17" t="n"/>
      <c r="M95" s="17" t="n"/>
      <c r="N95" s="17" t="n"/>
      <c r="O95" s="17" t="n"/>
      <c r="P95" s="17" t="n"/>
      <c r="Q95" s="17" t="n"/>
      <c r="R95" s="17" t="n"/>
      <c r="S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7" t="n"/>
      <c r="M96" s="17" t="n"/>
      <c r="N96" s="17" t="n"/>
      <c r="O96" s="17" t="n"/>
      <c r="P96" s="17" t="n"/>
      <c r="Q96" s="17" t="n"/>
      <c r="R96" s="17" t="n"/>
      <c r="S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8" t="n"/>
      <c r="K97" s="18" t="n"/>
      <c r="L97" s="17" t="n"/>
      <c r="M97" s="17" t="n"/>
      <c r="N97" s="17" t="n"/>
      <c r="O97" s="17" t="n"/>
      <c r="P97" s="17" t="n"/>
      <c r="Q97" s="17" t="n"/>
      <c r="R97" s="17" t="n"/>
      <c r="S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7" t="n"/>
      <c r="M98" s="17" t="n"/>
      <c r="N98" s="17" t="n"/>
      <c r="O98" s="17" t="n"/>
      <c r="P98" s="17" t="n"/>
      <c r="Q98" s="17" t="n"/>
      <c r="R98" s="17" t="n"/>
      <c r="S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8" t="n"/>
      <c r="K99" s="18" t="n"/>
      <c r="L99" s="17" t="n"/>
      <c r="M99" s="17" t="n"/>
      <c r="N99" s="17" t="n"/>
      <c r="O99" s="17" t="n"/>
      <c r="P99" s="17" t="n"/>
      <c r="Q99" s="17" t="n"/>
      <c r="R99" s="17" t="n"/>
      <c r="S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7" t="n"/>
      <c r="M100" s="17" t="n"/>
      <c r="N100" s="17" t="n"/>
      <c r="O100" s="17" t="n"/>
      <c r="P100" s="17" t="n"/>
      <c r="Q100" s="17" t="n"/>
      <c r="R100" s="17" t="n"/>
      <c r="S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8" t="n"/>
      <c r="K101" s="18" t="n"/>
      <c r="L101" s="17" t="n"/>
      <c r="M101" s="17" t="n"/>
      <c r="N101" s="17" t="n"/>
      <c r="O101" s="17" t="n"/>
      <c r="P101" s="17" t="n"/>
      <c r="Q101" s="17" t="n"/>
      <c r="R101" s="17" t="n"/>
      <c r="S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7" t="n"/>
      <c r="M102" s="17" t="n"/>
      <c r="N102" s="17" t="n"/>
      <c r="O102" s="17" t="n"/>
      <c r="P102" s="17" t="n"/>
      <c r="Q102" s="17" t="n"/>
      <c r="R102" s="17" t="n"/>
      <c r="S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8" t="n"/>
      <c r="K103" s="18" t="n"/>
      <c r="L103" s="17" t="n"/>
      <c r="M103" s="17" t="n"/>
      <c r="N103" s="17" t="n"/>
      <c r="O103" s="17" t="n"/>
      <c r="P103" s="17" t="n"/>
      <c r="Q103" s="17" t="n"/>
      <c r="R103" s="17" t="n"/>
      <c r="S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7" t="n"/>
      <c r="M104" s="17" t="n"/>
      <c r="N104" s="17" t="n"/>
      <c r="O104" s="17" t="n"/>
      <c r="P104" s="17" t="n"/>
      <c r="Q104" s="17" t="n"/>
      <c r="R104" s="17" t="n"/>
      <c r="S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8" t="n"/>
      <c r="K105" s="18" t="n"/>
      <c r="L105" s="17" t="n"/>
      <c r="M105" s="17" t="n"/>
      <c r="N105" s="17" t="n"/>
      <c r="O105" s="17" t="n"/>
      <c r="P105" s="17" t="n"/>
      <c r="Q105" s="17" t="n"/>
      <c r="R105" s="17" t="n"/>
      <c r="S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7" t="n"/>
      <c r="M106" s="17" t="n"/>
      <c r="N106" s="17" t="n"/>
      <c r="O106" s="17" t="n"/>
      <c r="P106" s="17" t="n"/>
      <c r="Q106" s="17" t="n"/>
      <c r="R106" s="17" t="n"/>
      <c r="S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8" t="n"/>
      <c r="K107" s="18" t="n"/>
      <c r="L107" s="17" t="n"/>
      <c r="M107" s="17" t="n"/>
      <c r="N107" s="17" t="n"/>
      <c r="O107" s="17" t="n"/>
      <c r="P107" s="17" t="n"/>
      <c r="Q107" s="17" t="n"/>
      <c r="R107" s="17" t="n"/>
      <c r="S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7" t="n"/>
      <c r="M108" s="17" t="n"/>
      <c r="N108" s="17" t="n"/>
      <c r="O108" s="17" t="n"/>
      <c r="P108" s="17" t="n"/>
      <c r="Q108" s="17" t="n"/>
      <c r="R108" s="17" t="n"/>
      <c r="S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8" t="n"/>
      <c r="K109" s="18" t="n"/>
      <c r="L109" s="17" t="n"/>
      <c r="M109" s="17" t="n"/>
      <c r="N109" s="17" t="n"/>
      <c r="O109" s="17" t="n"/>
      <c r="P109" s="17" t="n"/>
      <c r="Q109" s="17" t="n"/>
      <c r="R109" s="17" t="n"/>
      <c r="S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7" t="n"/>
      <c r="M110" s="17" t="n"/>
      <c r="N110" s="17" t="n"/>
      <c r="O110" s="17" t="n"/>
      <c r="P110" s="17" t="n"/>
      <c r="Q110" s="17" t="n"/>
      <c r="R110" s="17" t="n"/>
      <c r="S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8" t="n"/>
      <c r="K111" s="18" t="n"/>
      <c r="L111" s="17" t="n"/>
      <c r="M111" s="17" t="n"/>
      <c r="N111" s="17" t="n"/>
      <c r="O111" s="17" t="n"/>
      <c r="P111" s="17" t="n"/>
      <c r="Q111" s="17" t="n"/>
      <c r="R111" s="17" t="n"/>
      <c r="S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7" t="n"/>
      <c r="M112" s="17" t="n"/>
      <c r="N112" s="17" t="n"/>
      <c r="O112" s="17" t="n"/>
      <c r="P112" s="17" t="n"/>
      <c r="Q112" s="17" t="n"/>
      <c r="R112" s="17" t="n"/>
      <c r="S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8" t="n"/>
      <c r="K113" s="18" t="n"/>
      <c r="L113" s="17" t="n"/>
      <c r="M113" s="17" t="n"/>
      <c r="N113" s="17" t="n"/>
      <c r="O113" s="17" t="n"/>
      <c r="P113" s="17" t="n"/>
      <c r="Q113" s="17" t="n"/>
      <c r="R113" s="17" t="n"/>
      <c r="S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7" t="n"/>
      <c r="M114" s="17" t="n"/>
      <c r="N114" s="17" t="n"/>
      <c r="O114" s="17" t="n"/>
      <c r="P114" s="17" t="n"/>
      <c r="Q114" s="17" t="n"/>
      <c r="R114" s="17" t="n"/>
      <c r="S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8" t="n"/>
      <c r="K115" s="18" t="n"/>
      <c r="L115" s="17" t="n"/>
      <c r="M115" s="17" t="n"/>
      <c r="N115" s="17" t="n"/>
      <c r="O115" s="17" t="n"/>
      <c r="P115" s="17" t="n"/>
      <c r="Q115" s="17" t="n"/>
      <c r="R115" s="17" t="n"/>
      <c r="S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7" t="n"/>
      <c r="M116" s="17" t="n"/>
      <c r="N116" s="17" t="n"/>
      <c r="O116" s="17" t="n"/>
      <c r="P116" s="17" t="n"/>
      <c r="Q116" s="17" t="n"/>
      <c r="R116" s="17" t="n"/>
      <c r="S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8" t="n"/>
      <c r="K117" s="18" t="n"/>
      <c r="L117" s="17" t="n"/>
      <c r="M117" s="17" t="n"/>
      <c r="N117" s="17" t="n"/>
      <c r="O117" s="17" t="n"/>
      <c r="P117" s="17" t="n"/>
      <c r="Q117" s="17" t="n"/>
      <c r="R117" s="17" t="n"/>
      <c r="S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7" t="n"/>
      <c r="M118" s="17" t="n"/>
      <c r="N118" s="17" t="n"/>
      <c r="O118" s="17" t="n"/>
      <c r="P118" s="17" t="n"/>
      <c r="Q118" s="17" t="n"/>
      <c r="R118" s="17" t="n"/>
      <c r="S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8" t="n"/>
      <c r="K119" s="18" t="n"/>
      <c r="L119" s="17" t="n"/>
      <c r="M119" s="17" t="n"/>
      <c r="N119" s="17" t="n"/>
      <c r="O119" s="17" t="n"/>
      <c r="P119" s="17" t="n"/>
      <c r="Q119" s="17" t="n"/>
      <c r="R119" s="17" t="n"/>
      <c r="S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7" t="n"/>
      <c r="M120" s="17" t="n"/>
      <c r="N120" s="17" t="n"/>
      <c r="O120" s="17" t="n"/>
      <c r="P120" s="17" t="n"/>
      <c r="Q120" s="17" t="n"/>
      <c r="R120" s="17" t="n"/>
      <c r="S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8" t="n"/>
      <c r="K121" s="18" t="n"/>
      <c r="L121" s="17" t="n"/>
      <c r="M121" s="17" t="n"/>
      <c r="N121" s="17" t="n"/>
      <c r="O121" s="17" t="n"/>
      <c r="P121" s="17" t="n"/>
      <c r="Q121" s="17" t="n"/>
      <c r="R121" s="17" t="n"/>
      <c r="S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7" t="n"/>
      <c r="M122" s="17" t="n"/>
      <c r="N122" s="17" t="n"/>
      <c r="O122" s="17" t="n"/>
      <c r="P122" s="17" t="n"/>
      <c r="Q122" s="17" t="n"/>
      <c r="R122" s="17" t="n"/>
      <c r="S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8" t="n"/>
      <c r="K123" s="18" t="n"/>
      <c r="L123" s="17" t="n"/>
      <c r="M123" s="17" t="n"/>
      <c r="N123" s="17" t="n"/>
      <c r="O123" s="17" t="n"/>
      <c r="P123" s="17" t="n"/>
      <c r="Q123" s="17" t="n"/>
      <c r="R123" s="17" t="n"/>
      <c r="S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7" t="n"/>
      <c r="M124" s="17" t="n"/>
      <c r="N124" s="17" t="n"/>
      <c r="O124" s="17" t="n"/>
      <c r="P124" s="17" t="n"/>
      <c r="Q124" s="17" t="n"/>
      <c r="R124" s="17" t="n"/>
      <c r="S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8" t="n"/>
      <c r="K125" s="18" t="n"/>
      <c r="L125" s="17" t="n"/>
      <c r="M125" s="17" t="n"/>
      <c r="N125" s="17" t="n"/>
      <c r="O125" s="17" t="n"/>
      <c r="P125" s="17" t="n"/>
      <c r="Q125" s="17" t="n"/>
      <c r="R125" s="17" t="n"/>
      <c r="S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7" t="n"/>
      <c r="M126" s="17" t="n"/>
      <c r="N126" s="17" t="n"/>
      <c r="O126" s="17" t="n"/>
      <c r="P126" s="17" t="n"/>
      <c r="Q126" s="17" t="n"/>
      <c r="R126" s="17" t="n"/>
      <c r="S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8" t="n"/>
      <c r="K127" s="18" t="n"/>
      <c r="L127" s="17" t="n"/>
      <c r="M127" s="17" t="n"/>
      <c r="N127" s="17" t="n"/>
      <c r="O127" s="17" t="n"/>
      <c r="P127" s="17" t="n"/>
      <c r="Q127" s="17" t="n"/>
      <c r="R127" s="17" t="n"/>
      <c r="S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7" t="n"/>
      <c r="M128" s="17" t="n"/>
      <c r="N128" s="17" t="n"/>
      <c r="O128" s="17" t="n"/>
      <c r="P128" s="17" t="n"/>
      <c r="Q128" s="17" t="n"/>
      <c r="R128" s="17" t="n"/>
      <c r="S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8" t="n"/>
      <c r="K129" s="18" t="n"/>
      <c r="L129" s="17" t="n"/>
      <c r="M129" s="17" t="n"/>
      <c r="N129" s="17" t="n"/>
      <c r="O129" s="17" t="n"/>
      <c r="P129" s="17" t="n"/>
      <c r="Q129" s="17" t="n"/>
      <c r="R129" s="17" t="n"/>
      <c r="S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7" t="n"/>
      <c r="M130" s="17" t="n"/>
      <c r="N130" s="17" t="n"/>
      <c r="O130" s="17" t="n"/>
      <c r="P130" s="17" t="n"/>
      <c r="Q130" s="17" t="n"/>
      <c r="R130" s="17" t="n"/>
      <c r="S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8" t="n"/>
      <c r="K131" s="18" t="n"/>
      <c r="L131" s="17" t="n"/>
      <c r="M131" s="17" t="n"/>
      <c r="N131" s="17" t="n"/>
      <c r="O131" s="17" t="n"/>
      <c r="P131" s="17" t="n"/>
      <c r="Q131" s="17" t="n"/>
      <c r="R131" s="17" t="n"/>
      <c r="S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7" t="n"/>
      <c r="M132" s="17" t="n"/>
      <c r="N132" s="17" t="n"/>
      <c r="O132" s="17" t="n"/>
      <c r="P132" s="17" t="n"/>
      <c r="Q132" s="17" t="n"/>
      <c r="R132" s="17" t="n"/>
      <c r="S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8" t="n"/>
      <c r="K133" s="18" t="n"/>
      <c r="L133" s="17" t="n"/>
      <c r="M133" s="17" t="n"/>
      <c r="N133" s="17" t="n"/>
      <c r="O133" s="17" t="n"/>
      <c r="P133" s="17" t="n"/>
      <c r="Q133" s="17" t="n"/>
      <c r="R133" s="17" t="n"/>
      <c r="S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7" t="n"/>
      <c r="M134" s="17" t="n"/>
      <c r="N134" s="17" t="n"/>
      <c r="O134" s="17" t="n"/>
      <c r="P134" s="17" t="n"/>
      <c r="Q134" s="17" t="n"/>
      <c r="R134" s="17" t="n"/>
      <c r="S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8" t="n"/>
      <c r="K135" s="18" t="n"/>
      <c r="L135" s="17" t="n"/>
      <c r="M135" s="17" t="n"/>
      <c r="N135" s="17" t="n"/>
      <c r="O135" s="17" t="n"/>
      <c r="P135" s="17" t="n"/>
      <c r="Q135" s="17" t="n"/>
      <c r="R135" s="17" t="n"/>
      <c r="S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7" t="n"/>
      <c r="M136" s="17" t="n"/>
      <c r="N136" s="17" t="n"/>
      <c r="O136" s="17" t="n"/>
      <c r="P136" s="17" t="n"/>
      <c r="Q136" s="17" t="n"/>
      <c r="R136" s="17" t="n"/>
      <c r="S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8" t="n"/>
      <c r="K137" s="18" t="n"/>
      <c r="L137" s="17" t="n"/>
      <c r="M137" s="17" t="n"/>
      <c r="N137" s="17" t="n"/>
      <c r="O137" s="17" t="n"/>
      <c r="P137" s="17" t="n"/>
      <c r="Q137" s="17" t="n"/>
      <c r="R137" s="17" t="n"/>
      <c r="S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7" t="n"/>
      <c r="M138" s="17" t="n"/>
      <c r="N138" s="17" t="n"/>
      <c r="O138" s="17" t="n"/>
      <c r="P138" s="17" t="n"/>
      <c r="Q138" s="17" t="n"/>
      <c r="R138" s="17" t="n"/>
      <c r="S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8" t="n"/>
      <c r="K139" s="18" t="n"/>
      <c r="L139" s="17" t="n"/>
      <c r="M139" s="17" t="n"/>
      <c r="N139" s="17" t="n"/>
      <c r="O139" s="17" t="n"/>
      <c r="P139" s="17" t="n"/>
      <c r="Q139" s="17" t="n"/>
      <c r="R139" s="17" t="n"/>
      <c r="S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7" t="n"/>
      <c r="M140" s="17" t="n"/>
      <c r="N140" s="17" t="n"/>
      <c r="O140" s="17" t="n"/>
      <c r="P140" s="17" t="n"/>
      <c r="Q140" s="17" t="n"/>
      <c r="R140" s="17" t="n"/>
      <c r="S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8" t="n"/>
      <c r="K141" s="18" t="n"/>
      <c r="L141" s="17" t="n"/>
      <c r="M141" s="17" t="n"/>
      <c r="N141" s="17" t="n"/>
      <c r="O141" s="17" t="n"/>
      <c r="P141" s="17" t="n"/>
      <c r="Q141" s="17" t="n"/>
      <c r="R141" s="17" t="n"/>
      <c r="S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7" t="n"/>
      <c r="M142" s="17" t="n"/>
      <c r="N142" s="17" t="n"/>
      <c r="O142" s="17" t="n"/>
      <c r="P142" s="17" t="n"/>
      <c r="Q142" s="17" t="n"/>
      <c r="R142" s="17" t="n"/>
      <c r="S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8" t="n"/>
      <c r="K143" s="18" t="n"/>
      <c r="L143" s="17" t="n"/>
      <c r="M143" s="17" t="n"/>
      <c r="N143" s="17" t="n"/>
      <c r="O143" s="17" t="n"/>
      <c r="P143" s="17" t="n"/>
      <c r="Q143" s="17" t="n"/>
      <c r="R143" s="17" t="n"/>
      <c r="S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7" t="n"/>
      <c r="M144" s="17" t="n"/>
      <c r="N144" s="17" t="n"/>
      <c r="O144" s="17" t="n"/>
      <c r="P144" s="17" t="n"/>
      <c r="Q144" s="17" t="n"/>
      <c r="R144" s="17" t="n"/>
      <c r="S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8" t="n"/>
      <c r="K145" s="18" t="n"/>
      <c r="L145" s="17" t="n"/>
      <c r="M145" s="17" t="n"/>
      <c r="N145" s="17" t="n"/>
      <c r="O145" s="17" t="n"/>
      <c r="P145" s="17" t="n"/>
      <c r="Q145" s="17" t="n"/>
      <c r="R145" s="17" t="n"/>
      <c r="S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7" t="n"/>
      <c r="M146" s="17" t="n"/>
      <c r="N146" s="17" t="n"/>
      <c r="O146" s="17" t="n"/>
      <c r="P146" s="17" t="n"/>
      <c r="Q146" s="17" t="n"/>
      <c r="R146" s="17" t="n"/>
      <c r="S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8" t="n"/>
      <c r="K147" s="18" t="n"/>
      <c r="L147" s="17" t="n"/>
      <c r="M147" s="17" t="n"/>
      <c r="N147" s="17" t="n"/>
      <c r="O147" s="17" t="n"/>
      <c r="P147" s="17" t="n"/>
      <c r="Q147" s="17" t="n"/>
      <c r="R147" s="17" t="n"/>
      <c r="S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7" t="n"/>
      <c r="M148" s="17" t="n"/>
      <c r="N148" s="17" t="n"/>
      <c r="O148" s="17" t="n"/>
      <c r="P148" s="17" t="n"/>
      <c r="Q148" s="17" t="n"/>
      <c r="R148" s="17" t="n"/>
      <c r="S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8" t="n"/>
      <c r="K149" s="18" t="n"/>
      <c r="L149" s="17" t="n"/>
      <c r="M149" s="17" t="n"/>
      <c r="N149" s="17" t="n"/>
      <c r="O149" s="17" t="n"/>
      <c r="P149" s="17" t="n"/>
      <c r="Q149" s="17" t="n"/>
      <c r="R149" s="17" t="n"/>
      <c r="S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7" t="n"/>
      <c r="M150" s="17" t="n"/>
      <c r="N150" s="17" t="n"/>
      <c r="O150" s="17" t="n"/>
      <c r="P150" s="17" t="n"/>
      <c r="Q150" s="17" t="n"/>
      <c r="R150" s="17" t="n"/>
      <c r="S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8" t="n"/>
      <c r="K151" s="18" t="n"/>
      <c r="L151" s="17" t="n"/>
      <c r="M151" s="17" t="n"/>
      <c r="N151" s="17" t="n"/>
      <c r="O151" s="17" t="n"/>
      <c r="P151" s="17" t="n"/>
      <c r="Q151" s="17" t="n"/>
      <c r="R151" s="17" t="n"/>
      <c r="S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7" t="n"/>
      <c r="M152" s="17" t="n"/>
      <c r="N152" s="17" t="n"/>
      <c r="O152" s="17" t="n"/>
      <c r="P152" s="17" t="n"/>
      <c r="Q152" s="17" t="n"/>
      <c r="R152" s="17" t="n"/>
      <c r="S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8" t="n"/>
      <c r="K153" s="18" t="n"/>
      <c r="L153" s="17" t="n"/>
      <c r="M153" s="17" t="n"/>
      <c r="N153" s="17" t="n"/>
      <c r="O153" s="17" t="n"/>
      <c r="P153" s="17" t="n"/>
      <c r="Q153" s="17" t="n"/>
      <c r="R153" s="17" t="n"/>
      <c r="S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7" t="n"/>
      <c r="M154" s="17" t="n"/>
      <c r="N154" s="17" t="n"/>
      <c r="O154" s="17" t="n"/>
      <c r="P154" s="17" t="n"/>
      <c r="Q154" s="17" t="n"/>
      <c r="R154" s="17" t="n"/>
      <c r="S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8" t="n"/>
      <c r="K155" s="18" t="n"/>
      <c r="L155" s="17" t="n"/>
      <c r="M155" s="17" t="n"/>
      <c r="N155" s="17" t="n"/>
      <c r="O155" s="17" t="n"/>
      <c r="P155" s="17" t="n"/>
      <c r="Q155" s="17" t="n"/>
      <c r="R155" s="17" t="n"/>
      <c r="S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7" t="n"/>
      <c r="M156" s="17" t="n"/>
      <c r="N156" s="17" t="n"/>
      <c r="O156" s="17" t="n"/>
      <c r="P156" s="17" t="n"/>
      <c r="Q156" s="17" t="n"/>
      <c r="R156" s="17" t="n"/>
      <c r="S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8" t="n"/>
      <c r="K157" s="18" t="n"/>
      <c r="L157" s="17" t="n"/>
      <c r="M157" s="17" t="n"/>
      <c r="N157" s="17" t="n"/>
      <c r="O157" s="17" t="n"/>
      <c r="P157" s="17" t="n"/>
      <c r="Q157" s="17" t="n"/>
      <c r="R157" s="17" t="n"/>
      <c r="S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7" t="n"/>
      <c r="M158" s="17" t="n"/>
      <c r="N158" s="17" t="n"/>
      <c r="O158" s="17" t="n"/>
      <c r="P158" s="17" t="n"/>
      <c r="Q158" s="17" t="n"/>
      <c r="R158" s="17" t="n"/>
      <c r="S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8" t="n"/>
      <c r="K159" s="18" t="n"/>
      <c r="L159" s="17" t="n"/>
      <c r="M159" s="17" t="n"/>
      <c r="N159" s="17" t="n"/>
      <c r="O159" s="17" t="n"/>
      <c r="P159" s="17" t="n"/>
      <c r="Q159" s="17" t="n"/>
      <c r="R159" s="17" t="n"/>
      <c r="S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7" t="n"/>
      <c r="M160" s="17" t="n"/>
      <c r="N160" s="17" t="n"/>
      <c r="O160" s="17" t="n"/>
      <c r="P160" s="17" t="n"/>
      <c r="Q160" s="17" t="n"/>
      <c r="R160" s="17" t="n"/>
      <c r="S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8" t="n"/>
      <c r="K161" s="18" t="n"/>
      <c r="L161" s="17" t="n"/>
      <c r="M161" s="17" t="n"/>
      <c r="N161" s="17" t="n"/>
      <c r="O161" s="17" t="n"/>
      <c r="P161" s="17" t="n"/>
      <c r="Q161" s="17" t="n"/>
      <c r="R161" s="17" t="n"/>
      <c r="S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7" t="n"/>
      <c r="M162" s="17" t="n"/>
      <c r="N162" s="17" t="n"/>
      <c r="O162" s="17" t="n"/>
      <c r="P162" s="17" t="n"/>
      <c r="Q162" s="17" t="n"/>
      <c r="R162" s="17" t="n"/>
      <c r="S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8" t="n"/>
      <c r="K163" s="18" t="n"/>
      <c r="L163" s="17" t="n"/>
      <c r="M163" s="17" t="n"/>
      <c r="N163" s="17" t="n"/>
      <c r="O163" s="17" t="n"/>
      <c r="P163" s="17" t="n"/>
      <c r="Q163" s="17" t="n"/>
      <c r="R163" s="17" t="n"/>
      <c r="S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7" t="n"/>
      <c r="M164" s="17" t="n"/>
      <c r="N164" s="17" t="n"/>
      <c r="O164" s="17" t="n"/>
      <c r="P164" s="17" t="n"/>
      <c r="Q164" s="17" t="n"/>
      <c r="R164" s="17" t="n"/>
      <c r="S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8" t="n"/>
      <c r="K165" s="18" t="n"/>
      <c r="L165" s="17" t="n"/>
      <c r="M165" s="17" t="n"/>
      <c r="N165" s="17" t="n"/>
      <c r="O165" s="17" t="n"/>
      <c r="P165" s="17" t="n"/>
      <c r="Q165" s="17" t="n"/>
      <c r="R165" s="17" t="n"/>
      <c r="S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7" t="n"/>
      <c r="M166" s="17" t="n"/>
      <c r="N166" s="17" t="n"/>
      <c r="O166" s="17" t="n"/>
      <c r="P166" s="17" t="n"/>
      <c r="Q166" s="17" t="n"/>
      <c r="R166" s="17" t="n"/>
      <c r="S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8" t="n"/>
      <c r="K167" s="18" t="n"/>
      <c r="L167" s="17" t="n"/>
      <c r="M167" s="17" t="n"/>
      <c r="N167" s="17" t="n"/>
      <c r="O167" s="17" t="n"/>
      <c r="P167" s="17" t="n"/>
      <c r="Q167" s="17" t="n"/>
      <c r="R167" s="17" t="n"/>
      <c r="S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7" t="n"/>
      <c r="M168" s="17" t="n"/>
      <c r="N168" s="17" t="n"/>
      <c r="O168" s="17" t="n"/>
      <c r="P168" s="17" t="n"/>
      <c r="Q168" s="17" t="n"/>
      <c r="R168" s="17" t="n"/>
      <c r="S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8" t="n"/>
      <c r="K169" s="18" t="n"/>
      <c r="L169" s="17" t="n"/>
      <c r="M169" s="17" t="n"/>
      <c r="N169" s="17" t="n"/>
      <c r="O169" s="17" t="n"/>
      <c r="P169" s="17" t="n"/>
      <c r="Q169" s="17" t="n"/>
      <c r="R169" s="17" t="n"/>
      <c r="S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7" t="n"/>
      <c r="M170" s="17" t="n"/>
      <c r="N170" s="17" t="n"/>
      <c r="O170" s="17" t="n"/>
      <c r="P170" s="17" t="n"/>
      <c r="Q170" s="17" t="n"/>
      <c r="R170" s="17" t="n"/>
      <c r="S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8" t="n"/>
      <c r="K171" s="18" t="n"/>
      <c r="L171" s="17" t="n"/>
      <c r="M171" s="17" t="n"/>
      <c r="N171" s="17" t="n"/>
      <c r="O171" s="17" t="n"/>
      <c r="P171" s="17" t="n"/>
      <c r="Q171" s="17" t="n"/>
      <c r="R171" s="17" t="n"/>
      <c r="S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7" t="n"/>
      <c r="M172" s="17" t="n"/>
      <c r="N172" s="17" t="n"/>
      <c r="O172" s="17" t="n"/>
      <c r="P172" s="17" t="n"/>
      <c r="Q172" s="17" t="n"/>
      <c r="R172" s="17" t="n"/>
      <c r="S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8" t="n"/>
      <c r="K173" s="18" t="n"/>
      <c r="L173" s="17" t="n"/>
      <c r="M173" s="17" t="n"/>
      <c r="N173" s="17" t="n"/>
      <c r="O173" s="17" t="n"/>
      <c r="P173" s="17" t="n"/>
      <c r="Q173" s="17" t="n"/>
      <c r="R173" s="17" t="n"/>
      <c r="S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7" t="n"/>
      <c r="M174" s="17" t="n"/>
      <c r="N174" s="17" t="n"/>
      <c r="O174" s="17" t="n"/>
      <c r="P174" s="17" t="n"/>
      <c r="Q174" s="17" t="n"/>
      <c r="R174" s="17" t="n"/>
      <c r="S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8" t="n"/>
      <c r="K175" s="18" t="n"/>
      <c r="L175" s="17" t="n"/>
      <c r="M175" s="17" t="n"/>
      <c r="N175" s="17" t="n"/>
      <c r="O175" s="17" t="n"/>
      <c r="P175" s="17" t="n"/>
      <c r="Q175" s="17" t="n"/>
      <c r="R175" s="17" t="n"/>
      <c r="S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7" t="n"/>
      <c r="M176" s="17" t="n"/>
      <c r="N176" s="17" t="n"/>
      <c r="O176" s="17" t="n"/>
      <c r="P176" s="17" t="n"/>
      <c r="Q176" s="17" t="n"/>
      <c r="R176" s="17" t="n"/>
      <c r="S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8" t="n"/>
      <c r="K177" s="18" t="n"/>
      <c r="L177" s="17" t="n"/>
      <c r="M177" s="17" t="n"/>
      <c r="N177" s="17" t="n"/>
      <c r="O177" s="17" t="n"/>
      <c r="P177" s="17" t="n"/>
      <c r="Q177" s="17" t="n"/>
      <c r="R177" s="17" t="n"/>
      <c r="S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7" t="n"/>
      <c r="M178" s="17" t="n"/>
      <c r="N178" s="17" t="n"/>
      <c r="O178" s="17" t="n"/>
      <c r="P178" s="17" t="n"/>
      <c r="Q178" s="17" t="n"/>
      <c r="R178" s="17" t="n"/>
      <c r="S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8" t="n"/>
      <c r="K179" s="18" t="n"/>
      <c r="L179" s="17" t="n"/>
      <c r="M179" s="17" t="n"/>
      <c r="N179" s="17" t="n"/>
      <c r="O179" s="17" t="n"/>
      <c r="P179" s="17" t="n"/>
      <c r="Q179" s="17" t="n"/>
      <c r="R179" s="17" t="n"/>
      <c r="S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7" t="n"/>
      <c r="M180" s="17" t="n"/>
      <c r="N180" s="17" t="n"/>
      <c r="O180" s="17" t="n"/>
      <c r="P180" s="17" t="n"/>
      <c r="Q180" s="17" t="n"/>
      <c r="R180" s="17" t="n"/>
      <c r="S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8" t="n"/>
      <c r="K181" s="18" t="n"/>
      <c r="L181" s="17" t="n"/>
      <c r="M181" s="17" t="n"/>
      <c r="N181" s="17" t="n"/>
      <c r="O181" s="17" t="n"/>
      <c r="P181" s="17" t="n"/>
      <c r="Q181" s="17" t="n"/>
      <c r="R181" s="17" t="n"/>
      <c r="S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7" t="n"/>
      <c r="M182" s="17" t="n"/>
      <c r="N182" s="17" t="n"/>
      <c r="O182" s="17" t="n"/>
      <c r="P182" s="17" t="n"/>
      <c r="Q182" s="17" t="n"/>
      <c r="R182" s="17" t="n"/>
      <c r="S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8" t="n"/>
      <c r="K183" s="18" t="n"/>
      <c r="L183" s="17" t="n"/>
      <c r="M183" s="17" t="n"/>
      <c r="N183" s="17" t="n"/>
      <c r="O183" s="17" t="n"/>
      <c r="P183" s="17" t="n"/>
      <c r="Q183" s="17" t="n"/>
      <c r="R183" s="17" t="n"/>
      <c r="S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7" t="n"/>
      <c r="M184" s="17" t="n"/>
      <c r="N184" s="17" t="n"/>
      <c r="O184" s="17" t="n"/>
      <c r="P184" s="17" t="n"/>
      <c r="Q184" s="17" t="n"/>
      <c r="R184" s="17" t="n"/>
      <c r="S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8" t="n"/>
      <c r="K185" s="18" t="n"/>
      <c r="L185" s="17" t="n"/>
      <c r="M185" s="17" t="n"/>
      <c r="N185" s="17" t="n"/>
      <c r="O185" s="17" t="n"/>
      <c r="P185" s="17" t="n"/>
      <c r="Q185" s="17" t="n"/>
      <c r="R185" s="17" t="n"/>
      <c r="S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7" t="n"/>
      <c r="M186" s="17" t="n"/>
      <c r="N186" s="17" t="n"/>
      <c r="O186" s="17" t="n"/>
      <c r="P186" s="17" t="n"/>
      <c r="Q186" s="17" t="n"/>
      <c r="R186" s="17" t="n"/>
      <c r="S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8" t="n"/>
      <c r="K187" s="18" t="n"/>
      <c r="L187" s="17" t="n"/>
      <c r="M187" s="17" t="n"/>
      <c r="N187" s="17" t="n"/>
      <c r="O187" s="17" t="n"/>
      <c r="P187" s="17" t="n"/>
      <c r="Q187" s="17" t="n"/>
      <c r="R187" s="17" t="n"/>
      <c r="S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7" t="n"/>
      <c r="M188" s="17" t="n"/>
      <c r="N188" s="17" t="n"/>
      <c r="O188" s="17" t="n"/>
      <c r="P188" s="17" t="n"/>
      <c r="Q188" s="17" t="n"/>
      <c r="R188" s="17" t="n"/>
      <c r="S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8" t="n"/>
      <c r="K189" s="18" t="n"/>
      <c r="L189" s="17" t="n"/>
      <c r="M189" s="17" t="n"/>
      <c r="N189" s="17" t="n"/>
      <c r="O189" s="17" t="n"/>
      <c r="P189" s="17" t="n"/>
      <c r="Q189" s="17" t="n"/>
      <c r="R189" s="17" t="n"/>
      <c r="S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7" t="n"/>
      <c r="M190" s="17" t="n"/>
      <c r="N190" s="17" t="n"/>
      <c r="O190" s="17" t="n"/>
      <c r="P190" s="17" t="n"/>
      <c r="Q190" s="17" t="n"/>
      <c r="R190" s="17" t="n"/>
      <c r="S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8" t="n"/>
      <c r="K191" s="18" t="n"/>
      <c r="L191" s="17" t="n"/>
      <c r="M191" s="17" t="n"/>
      <c r="N191" s="17" t="n"/>
      <c r="O191" s="17" t="n"/>
      <c r="P191" s="17" t="n"/>
      <c r="Q191" s="17" t="n"/>
      <c r="R191" s="17" t="n"/>
      <c r="S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7" t="n"/>
      <c r="M192" s="17" t="n"/>
      <c r="N192" s="17" t="n"/>
      <c r="O192" s="17" t="n"/>
      <c r="P192" s="17" t="n"/>
      <c r="Q192" s="17" t="n"/>
      <c r="R192" s="17" t="n"/>
      <c r="S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8" t="n"/>
      <c r="K193" s="18" t="n"/>
      <c r="L193" s="17" t="n"/>
      <c r="M193" s="17" t="n"/>
      <c r="N193" s="17" t="n"/>
      <c r="O193" s="17" t="n"/>
      <c r="P193" s="17" t="n"/>
      <c r="Q193" s="17" t="n"/>
      <c r="R193" s="17" t="n"/>
      <c r="S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7" t="n"/>
      <c r="M194" s="17" t="n"/>
      <c r="N194" s="17" t="n"/>
      <c r="O194" s="17" t="n"/>
      <c r="P194" s="17" t="n"/>
      <c r="Q194" s="17" t="n"/>
      <c r="R194" s="17" t="n"/>
      <c r="S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8" t="n"/>
      <c r="K195" s="18" t="n"/>
      <c r="L195" s="17" t="n"/>
      <c r="M195" s="17" t="n"/>
      <c r="N195" s="17" t="n"/>
      <c r="O195" s="17" t="n"/>
      <c r="P195" s="17" t="n"/>
      <c r="Q195" s="17" t="n"/>
      <c r="R195" s="17" t="n"/>
      <c r="S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7" t="n"/>
      <c r="M196" s="17" t="n"/>
      <c r="N196" s="17" t="n"/>
      <c r="O196" s="17" t="n"/>
      <c r="P196" s="17" t="n"/>
      <c r="Q196" s="17" t="n"/>
      <c r="R196" s="17" t="n"/>
      <c r="S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8" t="n"/>
      <c r="K197" s="18" t="n"/>
      <c r="L197" s="17" t="n"/>
      <c r="M197" s="17" t="n"/>
      <c r="N197" s="17" t="n"/>
      <c r="O197" s="17" t="n"/>
      <c r="P197" s="17" t="n"/>
      <c r="Q197" s="17" t="n"/>
      <c r="R197" s="17" t="n"/>
      <c r="S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7" t="n"/>
      <c r="M198" s="17" t="n"/>
      <c r="N198" s="17" t="n"/>
      <c r="O198" s="17" t="n"/>
      <c r="P198" s="17" t="n"/>
      <c r="Q198" s="17" t="n"/>
      <c r="R198" s="17" t="n"/>
      <c r="S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8" t="n"/>
      <c r="K199" s="18" t="n"/>
      <c r="L199" s="17" t="n"/>
      <c r="M199" s="17" t="n"/>
      <c r="N199" s="17" t="n"/>
      <c r="O199" s="17" t="n"/>
      <c r="P199" s="17" t="n"/>
      <c r="Q199" s="17" t="n"/>
      <c r="R199" s="17" t="n"/>
      <c r="S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7" t="n"/>
      <c r="M200" s="17" t="n"/>
      <c r="N200" s="17" t="n"/>
      <c r="O200" s="17" t="n"/>
      <c r="P200" s="17" t="n"/>
      <c r="Q200" s="17" t="n"/>
      <c r="R200" s="17" t="n"/>
      <c r="S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8" t="n"/>
      <c r="K201" s="18" t="n"/>
      <c r="L201" s="17" t="n"/>
      <c r="M201" s="17" t="n"/>
      <c r="N201" s="17" t="n"/>
      <c r="O201" s="17" t="n"/>
      <c r="P201" s="17" t="n"/>
      <c r="Q201" s="17" t="n"/>
      <c r="R201" s="17" t="n"/>
      <c r="S201" s="17" t="n"/>
    </row>
  </sheetData>
  <autoFilter ref="A1:S201"/>
  <conditionalFormatting sqref="L2:L201">
    <cfRule type="expression" priority="1" dxfId="6">
      <formula>AND(ISNUMBER(L2),L2&lt;0)</formula>
    </cfRule>
    <cfRule type="expression" priority="2" dxfId="7">
      <formula>AND(ISNUMBER(L2),L2&gt;=0,L2&lt;=5)</formula>
    </cfRule>
  </conditionalFormatting>
  <dataValidations count="1">
    <dataValidation sqref="F2:F500" showDropDown="0" showInputMessage="0" showErrorMessage="0" allowBlank="1" type="list">
      <formula1>"MTE,MPT,Outro"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7" customWidth="1" min="3" max="3"/>
    <col width="14" customWidth="1" min="4" max="4"/>
    <col width="44" customWidth="1" min="5" max="5"/>
    <col width="26" customWidth="1" min="6" max="6"/>
    <col width="60" customWidth="1" min="7" max="7"/>
    <col width="10" customWidth="1" min="8" max="8"/>
    <col width="18" customWidth="1" min="9" max="9"/>
    <col width="22" customWidth="1" min="10" max="10"/>
    <col width="12" customWidth="1" min="11" max="11"/>
    <col width="44" customWidth="1" min="12" max="12"/>
    <col hidden="1" width="13" customWidth="1" min="13" max="13"/>
  </cols>
  <sheetData>
    <row r="1" ht="32" customHeight="1">
      <c r="A1" s="4" t="inlineStr">
        <is>
          <t>ID notificação</t>
        </is>
      </c>
      <c r="B1" s="4" t="inlineStr">
        <is>
          <t>Cliente</t>
        </is>
      </c>
      <c r="C1" s="4" t="inlineStr">
        <is>
          <t>Item nº</t>
        </is>
      </c>
      <c r="D1" s="4" t="inlineStr">
        <is>
          <t>Código (Catálogo)</t>
        </is>
      </c>
      <c r="E1" s="4" t="inlineStr">
        <is>
          <t>Documento padrão</t>
        </is>
      </c>
      <c r="F1" s="4" t="inlineStr">
        <is>
          <t>Responsável</t>
        </is>
      </c>
      <c r="G1" s="4" t="inlineStr">
        <is>
          <t>Texto da notificação (resumo)</t>
        </is>
      </c>
      <c r="H1" s="4" t="inlineStr">
        <is>
          <t>1ª vez na notificação</t>
        </is>
      </c>
      <c r="I1" s="4" t="inlineStr">
        <is>
          <t>Status</t>
        </is>
      </c>
      <c r="J1" s="4" t="inlineStr">
        <is>
          <t>Período pedido</t>
        </is>
      </c>
      <c r="K1" s="4" t="inlineStr">
        <is>
          <t>Data de entrega</t>
        </is>
      </c>
      <c r="L1" s="4" t="inlineStr">
        <is>
          <t>Observações</t>
        </is>
      </c>
    </row>
    <row r="2">
      <c r="A2" s="17" t="inlineStr">
        <is>
          <t>N-001</t>
        </is>
      </c>
      <c r="B2" s="17">
        <f>IF(A2="","",IFERROR(VLOOKUP(A2,Notificações!$A:$B,2,FALSE),"ID não encontrado"))</f>
        <v/>
      </c>
      <c r="C2" s="17" t="inlineStr">
        <is>
          <t>1</t>
        </is>
      </c>
      <c r="D2" s="17" t="inlineStr">
        <is>
          <t>CONTRATO</t>
        </is>
      </c>
      <c r="E2" s="17">
        <f>IF(D2="","",IFERROR(VLOOKUP(D2,Catálogo!$A:$D,2,FALSE),"Código não está no Catálogo"))</f>
        <v/>
      </c>
      <c r="F2" s="17">
        <f>IF(D2="","",IFERROR(VLOOKUP(D2,Catálogo!$A:$D,4,FALSE),""))</f>
        <v/>
      </c>
      <c r="G2" s="17" t="inlineStr">
        <is>
          <t>Atos constitutivos (contrato social)</t>
        </is>
      </c>
      <c r="H2" s="17">
        <f>IF(D2="",0,IF(COUNTIFS($A$2:A2,A2,$D$2:D2,D2)=1,1,0))</f>
        <v/>
      </c>
      <c r="I2" s="17" t="inlineStr">
        <is>
          <t>A confirmar</t>
        </is>
      </c>
      <c r="J2" s="17" t="inlineStr"/>
      <c r="K2" s="18" t="n"/>
      <c r="L2" s="17" t="inlineStr"/>
      <c r="M2">
        <f>IF(AND(B2&lt;&gt;"",B2='Por empresa'!$B$2),COUNTIF($B$2:B2,'Por empresa'!$B$2),"")</f>
        <v/>
      </c>
    </row>
    <row r="3">
      <c r="A3" s="17" t="inlineStr">
        <is>
          <t>N-001</t>
        </is>
      </c>
      <c r="B3" s="17">
        <f>IF(A3="","",IFERROR(VLOOKUP(A3,Notificações!$A:$B,2,FALSE),"ID não encontrado"))</f>
        <v/>
      </c>
      <c r="C3" s="17" t="inlineStr">
        <is>
          <t>2</t>
        </is>
      </c>
      <c r="D3" s="17" t="inlineStr">
        <is>
          <t>REG-EMP</t>
        </is>
      </c>
      <c r="E3" s="17">
        <f>IF(D3="","",IFERROR(VLOOKUP(D3,Catálogo!$A:$D,2,FALSE),"Código não está no Catálogo"))</f>
        <v/>
      </c>
      <c r="F3" s="17">
        <f>IF(D3="","",IFERROR(VLOOKUP(D3,Catálogo!$A:$D,4,FALSE),""))</f>
        <v/>
      </c>
      <c r="G3" s="17" t="inlineStr">
        <is>
          <t>Livro/fichas de registro (se não optante pelo eSocial)</t>
        </is>
      </c>
      <c r="H3" s="17">
        <f>IF(D3="",0,IF(COUNTIFS($A$2:A3,A3,$D$2:D3,D3)=1,1,0))</f>
        <v/>
      </c>
      <c r="I3" s="17" t="inlineStr">
        <is>
          <t>A confirmar</t>
        </is>
      </c>
      <c r="J3" s="17" t="inlineStr"/>
      <c r="K3" s="18" t="n"/>
      <c r="L3" s="17" t="inlineStr"/>
      <c r="M3">
        <f>IF(AND(B3&lt;&gt;"",B3='Por empresa'!$B$2),COUNTIF($B$2:B3,'Por empresa'!$B$2),"")</f>
        <v/>
      </c>
    </row>
    <row r="4">
      <c r="A4" s="17" t="inlineStr">
        <is>
          <t>N-001</t>
        </is>
      </c>
      <c r="B4" s="17">
        <f>IF(A4="","",IFERROR(VLOOKUP(A4,Notificações!$A:$B,2,FALSE),"ID não encontrado"))</f>
        <v/>
      </c>
      <c r="C4" s="17" t="inlineStr">
        <is>
          <t>3</t>
        </is>
      </c>
      <c r="D4" s="17" t="inlineStr">
        <is>
          <t>CCT</t>
        </is>
      </c>
      <c r="E4" s="17">
        <f>IF(D4="","",IFERROR(VLOOKUP(D4,Catálogo!$A:$D,2,FALSE),"Código não está no Catálogo"))</f>
        <v/>
      </c>
      <c r="F4" s="17">
        <f>IF(D4="","",IFERROR(VLOOKUP(D4,Catálogo!$A:$D,4,FALSE),""))</f>
        <v/>
      </c>
      <c r="G4" s="17" t="inlineStr">
        <is>
          <t>Último acordo/convenção/dissídio coletivo</t>
        </is>
      </c>
      <c r="H4" s="17">
        <f>IF(D4="",0,IF(COUNTIFS($A$2:A4,A4,$D$2:D4,D4)=1,1,0))</f>
        <v/>
      </c>
      <c r="I4" s="17" t="inlineStr">
        <is>
          <t>A confirmar</t>
        </is>
      </c>
      <c r="J4" s="17" t="inlineStr"/>
      <c r="K4" s="18" t="n"/>
      <c r="L4" s="17" t="inlineStr"/>
      <c r="M4">
        <f>IF(AND(B4&lt;&gt;"",B4='Por empresa'!$B$2),COUNTIF($B$2:B4,'Por empresa'!$B$2),"")</f>
        <v/>
      </c>
    </row>
    <row r="5">
      <c r="A5" s="17" t="inlineStr">
        <is>
          <t>N-001</t>
        </is>
      </c>
      <c r="B5" s="17">
        <f>IF(A5="","",IFERROR(VLOOKUP(A5,Notificações!$A:$B,2,FALSE),"ID não encontrado"))</f>
        <v/>
      </c>
      <c r="C5" s="17" t="inlineStr">
        <is>
          <t>4</t>
        </is>
      </c>
      <c r="D5" s="17" t="inlineStr">
        <is>
          <t>PONTO-AFD</t>
        </is>
      </c>
      <c r="E5" s="17">
        <f>IF(D5="","",IFERROR(VLOOKUP(D5,Catálogo!$A:$D,2,FALSE),"Código não está no Catálogo"))</f>
        <v/>
      </c>
      <c r="F5" s="17">
        <f>IF(D5="","",IFERROR(VLOOKUP(D5,Catálogo!$A:$D,4,FALSE),""))</f>
        <v/>
      </c>
      <c r="G5" s="17" t="inlineStr">
        <is>
          <t>Arquivo AFD</t>
        </is>
      </c>
      <c r="H5" s="17">
        <f>IF(D5="",0,IF(COUNTIFS($A$2:A5,A5,$D$2:D5,D5)=1,1,0))</f>
        <v/>
      </c>
      <c r="I5" s="17" t="inlineStr">
        <is>
          <t>A confirmar</t>
        </is>
      </c>
      <c r="J5" s="17" t="inlineStr">
        <is>
          <t>01/2024 a 10/2025</t>
        </is>
      </c>
      <c r="K5" s="18" t="n"/>
      <c r="L5" s="17" t="inlineStr"/>
      <c r="M5">
        <f>IF(AND(B5&lt;&gt;"",B5='Por empresa'!$B$2),COUNTIF($B$2:B5,'Por empresa'!$B$2),"")</f>
        <v/>
      </c>
    </row>
    <row r="6">
      <c r="A6" s="17" t="inlineStr">
        <is>
          <t>N-001</t>
        </is>
      </c>
      <c r="B6" s="17">
        <f>IF(A6="","",IFERROR(VLOOKUP(A6,Notificações!$A:$B,2,FALSE),"ID não encontrado"))</f>
        <v/>
      </c>
      <c r="C6" s="17" t="inlineStr">
        <is>
          <t>5</t>
        </is>
      </c>
      <c r="D6" s="17" t="inlineStr">
        <is>
          <t>PONTO-AFD</t>
        </is>
      </c>
      <c r="E6" s="17">
        <f>IF(D6="","",IFERROR(VLOOKUP(D6,Catálogo!$A:$D,2,FALSE),"Código não está no Catálogo"))</f>
        <v/>
      </c>
      <c r="F6" s="17">
        <f>IF(D6="","",IFERROR(VLOOKUP(D6,Catálogo!$A:$D,4,FALSE),""))</f>
        <v/>
      </c>
      <c r="G6" s="17" t="inlineStr">
        <is>
          <t>Arquivo AEJ</t>
        </is>
      </c>
      <c r="H6" s="17">
        <f>IF(D6="",0,IF(COUNTIFS($A$2:A6,A6,$D$2:D6,D6)=1,1,0))</f>
        <v/>
      </c>
      <c r="I6" s="17" t="inlineStr">
        <is>
          <t>A confirmar</t>
        </is>
      </c>
      <c r="J6" s="17" t="inlineStr">
        <is>
          <t>01/2024 a 10/2025</t>
        </is>
      </c>
      <c r="K6" s="18" t="n"/>
      <c r="L6" s="17" t="inlineStr"/>
      <c r="M6">
        <f>IF(AND(B6&lt;&gt;"",B6='Por empresa'!$B$2),COUNTIF($B$2:B6,'Por empresa'!$B$2),"")</f>
        <v/>
      </c>
    </row>
    <row r="7">
      <c r="A7" s="17" t="inlineStr">
        <is>
          <t>N-001</t>
        </is>
      </c>
      <c r="B7" s="17">
        <f>IF(A7="","",IFERROR(VLOOKUP(A7,Notificações!$A:$B,2,FALSE),"ID não encontrado"))</f>
        <v/>
      </c>
      <c r="C7" s="17" t="inlineStr">
        <is>
          <t>6</t>
        </is>
      </c>
      <c r="D7" s="17" t="inlineStr">
        <is>
          <t>PONTO-ESP</t>
        </is>
      </c>
      <c r="E7" s="17">
        <f>IF(D7="","",IFERROR(VLOOKUP(D7,Catálogo!$A:$D,2,FALSE),"Código não está no Catálogo"))</f>
        <v/>
      </c>
      <c r="F7" s="17">
        <f>IF(D7="","",IFERROR(VLOOKUP(D7,Catálogo!$A:$D,4,FALSE),""))</f>
        <v/>
      </c>
      <c r="G7" s="17" t="inlineStr">
        <is>
          <t>Espelho de ponto eletrônico (art. 84 Port. 671)</t>
        </is>
      </c>
      <c r="H7" s="17">
        <f>IF(D7="",0,IF(COUNTIFS($A$2:A7,A7,$D$2:D7,D7)=1,1,0))</f>
        <v/>
      </c>
      <c r="I7" s="17" t="inlineStr">
        <is>
          <t>A confirmar</t>
        </is>
      </c>
      <c r="J7" s="17" t="inlineStr">
        <is>
          <t>01/2025 a 10/2025</t>
        </is>
      </c>
      <c r="K7" s="18" t="n"/>
      <c r="L7" s="17" t="inlineStr"/>
      <c r="M7">
        <f>IF(AND(B7&lt;&gt;"",B7='Por empresa'!$B$2),COUNTIF($B$2:B7,'Por empresa'!$B$2),"")</f>
        <v/>
      </c>
    </row>
    <row r="8">
      <c r="A8" s="17" t="inlineStr">
        <is>
          <t>N-001</t>
        </is>
      </c>
      <c r="B8" s="17">
        <f>IF(A8="","",IFERROR(VLOOKUP(A8,Notificações!$A:$B,2,FALSE),"ID não encontrado"))</f>
        <v/>
      </c>
      <c r="C8" s="17" t="inlineStr">
        <is>
          <t>7</t>
        </is>
      </c>
      <c r="D8" s="17" t="inlineStr">
        <is>
          <t>PONTO-ESP</t>
        </is>
      </c>
      <c r="E8" s="17">
        <f>IF(D8="","",IFERROR(VLOOKUP(D8,Catálogo!$A:$D,2,FALSE),"Código não está no Catálogo"))</f>
        <v/>
      </c>
      <c r="F8" s="17">
        <f>IF(D8="","",IFERROR(VLOOKUP(D8,Catálogo!$A:$D,4,FALSE),""))</f>
        <v/>
      </c>
      <c r="G8" s="17" t="inlineStr">
        <is>
          <t>Folhas de ponto manuais digitalizadas</t>
        </is>
      </c>
      <c r="H8" s="17">
        <f>IF(D8="",0,IF(COUNTIFS($A$2:A8,A8,$D$2:D8,D8)=1,1,0))</f>
        <v/>
      </c>
      <c r="I8" s="17" t="inlineStr">
        <is>
          <t>A confirmar</t>
        </is>
      </c>
      <c r="J8" s="17" t="inlineStr">
        <is>
          <t>01/2025 a 10/2025</t>
        </is>
      </c>
      <c r="K8" s="18" t="n"/>
      <c r="L8" s="17" t="inlineStr"/>
      <c r="M8">
        <f>IF(AND(B8&lt;&gt;"",B8='Por empresa'!$B$2),COUNTIF($B$2:B8,'Por empresa'!$B$2),"")</f>
        <v/>
      </c>
    </row>
    <row r="9">
      <c r="A9" s="17" t="inlineStr">
        <is>
          <t>N-001</t>
        </is>
      </c>
      <c r="B9" s="17">
        <f>IF(A9="","",IFERROR(VLOOKUP(A9,Notificações!$A:$B,2,FALSE),"ID não encontrado"))</f>
        <v/>
      </c>
      <c r="C9" s="17" t="inlineStr">
        <is>
          <t>8</t>
        </is>
      </c>
      <c r="D9" s="17" t="inlineStr">
        <is>
          <t>FOLHA</t>
        </is>
      </c>
      <c r="E9" s="17">
        <f>IF(D9="","",IFERROR(VLOOKUP(D9,Catálogo!$A:$D,2,FALSE),"Código não está no Catálogo"))</f>
        <v/>
      </c>
      <c r="F9" s="17">
        <f>IF(D9="","",IFERROR(VLOOKUP(D9,Catálogo!$A:$D,4,FALSE),""))</f>
        <v/>
      </c>
      <c r="G9" s="17" t="inlineStr">
        <is>
          <t>Folhas analíticas de pagamento</t>
        </is>
      </c>
      <c r="H9" s="17">
        <f>IF(D9="",0,IF(COUNTIFS($A$2:A9,A9,$D$2:D9,D9)=1,1,0))</f>
        <v/>
      </c>
      <c r="I9" s="17" t="inlineStr">
        <is>
          <t>A confirmar</t>
        </is>
      </c>
      <c r="J9" s="17" t="inlineStr">
        <is>
          <t>01/2025 a 10/2025</t>
        </is>
      </c>
      <c r="K9" s="18" t="n"/>
      <c r="L9" s="17" t="inlineStr"/>
      <c r="M9">
        <f>IF(AND(B9&lt;&gt;"",B9='Por empresa'!$B$2),COUNTIF($B$2:B9,'Por empresa'!$B$2),"")</f>
        <v/>
      </c>
    </row>
    <row r="10">
      <c r="A10" s="17" t="inlineStr">
        <is>
          <t>N-001</t>
        </is>
      </c>
      <c r="B10" s="17">
        <f>IF(A10="","",IFERROR(VLOOKUP(A10,Notificações!$A:$B,2,FALSE),"ID não encontrado"))</f>
        <v/>
      </c>
      <c r="C10" s="17" t="inlineStr">
        <is>
          <t>9</t>
        </is>
      </c>
      <c r="D10" s="17" t="inlineStr">
        <is>
          <t>COMPROV-SAL</t>
        </is>
      </c>
      <c r="E10" s="17">
        <f>IF(D10="","",IFERROR(VLOOKUP(D10,Catálogo!$A:$D,2,FALSE),"Código não está no Catálogo"))</f>
        <v/>
      </c>
      <c r="F10" s="17">
        <f>IF(D10="","",IFERROR(VLOOKUP(D10,Catálogo!$A:$D,4,FALSE),""))</f>
        <v/>
      </c>
      <c r="G10" s="17" t="inlineStr">
        <is>
          <t>Comprovantes bancários de salários</t>
        </is>
      </c>
      <c r="H10" s="17">
        <f>IF(D10="",0,IF(COUNTIFS($A$2:A10,A10,$D$2:D10,D10)=1,1,0))</f>
        <v/>
      </c>
      <c r="I10" s="17" t="inlineStr">
        <is>
          <t>A confirmar</t>
        </is>
      </c>
      <c r="J10" s="17" t="inlineStr">
        <is>
          <t>08/2025 a 10/2025</t>
        </is>
      </c>
      <c r="K10" s="18" t="n"/>
      <c r="L10" s="17" t="inlineStr"/>
      <c r="M10">
        <f>IF(AND(B10&lt;&gt;"",B10='Por empresa'!$B$2),COUNTIF($B$2:B10,'Por empresa'!$B$2),"")</f>
        <v/>
      </c>
    </row>
    <row r="11">
      <c r="A11" s="17" t="inlineStr">
        <is>
          <t>N-001</t>
        </is>
      </c>
      <c r="B11" s="17">
        <f>IF(A11="","",IFERROR(VLOOKUP(A11,Notificações!$A:$B,2,FALSE),"ID não encontrado"))</f>
        <v/>
      </c>
      <c r="C11" s="17" t="inlineStr">
        <is>
          <t>10</t>
        </is>
      </c>
      <c r="D11" s="17" t="inlineStr">
        <is>
          <t>EST-REL</t>
        </is>
      </c>
      <c r="E11" s="17">
        <f>IF(D11="","",IFERROR(VLOOKUP(D11,Catálogo!$A:$D,2,FALSE),"Código não está no Catálogo"))</f>
        <v/>
      </c>
      <c r="F11" s="17">
        <f>IF(D11="","",IFERROR(VLOOKUP(D11,Catálogo!$A:$D,4,FALSE),""))</f>
        <v/>
      </c>
      <c r="G11" s="17" t="inlineStr">
        <is>
          <t>Relação de estagiários ativos (Excel, 10 campos)</t>
        </is>
      </c>
      <c r="H11" s="17">
        <f>IF(D11="",0,IF(COUNTIFS($A$2:A11,A11,$D$2:D11,D11)=1,1,0))</f>
        <v/>
      </c>
      <c r="I11" s="17" t="inlineStr">
        <is>
          <t>A confirmar</t>
        </is>
      </c>
      <c r="J11" s="17" t="inlineStr"/>
      <c r="K11" s="18" t="n"/>
      <c r="L11" s="17" t="inlineStr"/>
      <c r="M11">
        <f>IF(AND(B11&lt;&gt;"",B11='Por empresa'!$B$2),COUNTIF($B$2:B11,'Por empresa'!$B$2),"")</f>
        <v/>
      </c>
    </row>
    <row r="12">
      <c r="A12" s="17" t="inlineStr">
        <is>
          <t>N-001</t>
        </is>
      </c>
      <c r="B12" s="17">
        <f>IF(A12="","",IFERROR(VLOOKUP(A12,Notificações!$A:$B,2,FALSE),"ID não encontrado"))</f>
        <v/>
      </c>
      <c r="C12" s="17" t="inlineStr">
        <is>
          <t>11</t>
        </is>
      </c>
      <c r="D12" s="17" t="inlineStr">
        <is>
          <t>EST-DOCS</t>
        </is>
      </c>
      <c r="E12" s="17">
        <f>IF(D12="","",IFERROR(VLOOKUP(D12,Catálogo!$A:$D,2,FALSE),"Código não está no Catálogo"))</f>
        <v/>
      </c>
      <c r="F12" s="17">
        <f>IF(D12="","",IFERROR(VLOOKUP(D12,Catálogo!$A:$D,4,FALSE),""))</f>
        <v/>
      </c>
      <c r="G12" s="17" t="inlineStr">
        <is>
          <t>Termos de compromisso de estágio</t>
        </is>
      </c>
      <c r="H12" s="17">
        <f>IF(D12="",0,IF(COUNTIFS($A$2:A12,A12,$D$2:D12,D12)=1,1,0))</f>
        <v/>
      </c>
      <c r="I12" s="17" t="inlineStr">
        <is>
          <t>A confirmar</t>
        </is>
      </c>
      <c r="J12" s="17" t="inlineStr"/>
      <c r="K12" s="18" t="n"/>
      <c r="L12" s="17" t="inlineStr"/>
      <c r="M12">
        <f>IF(AND(B12&lt;&gt;"",B12='Por empresa'!$B$2),COUNTIF($B$2:B12,'Por empresa'!$B$2),"")</f>
        <v/>
      </c>
    </row>
    <row r="13">
      <c r="A13" s="17" t="inlineStr">
        <is>
          <t>N-001</t>
        </is>
      </c>
      <c r="B13" s="17">
        <f>IF(A13="","",IFERROR(VLOOKUP(A13,Notificações!$A:$B,2,FALSE),"ID não encontrado"))</f>
        <v/>
      </c>
      <c r="C13" s="17" t="inlineStr">
        <is>
          <t>12</t>
        </is>
      </c>
      <c r="D13" s="17" t="inlineStr">
        <is>
          <t>EST-DOCS</t>
        </is>
      </c>
      <c r="E13" s="17">
        <f>IF(D13="","",IFERROR(VLOOKUP(D13,Catálogo!$A:$D,2,FALSE),"Código não está no Catálogo"))</f>
        <v/>
      </c>
      <c r="F13" s="17">
        <f>IF(D13="","",IFERROR(VLOOKUP(D13,Catálogo!$A:$D,4,FALSE),""))</f>
        <v/>
      </c>
      <c r="G13" s="17" t="inlineStr">
        <is>
          <t>Planos de atividades dos estagiários</t>
        </is>
      </c>
      <c r="H13" s="17">
        <f>IF(D13="",0,IF(COUNTIFS($A$2:A13,A13,$D$2:D13,D13)=1,1,0))</f>
        <v/>
      </c>
      <c r="I13" s="17" t="inlineStr">
        <is>
          <t>A confirmar</t>
        </is>
      </c>
      <c r="J13" s="17" t="inlineStr"/>
      <c r="K13" s="18" t="n"/>
      <c r="L13" s="17" t="inlineStr"/>
      <c r="M13">
        <f>IF(AND(B13&lt;&gt;"",B13='Por empresa'!$B$2),COUNTIF($B$2:B13,'Por empresa'!$B$2),"")</f>
        <v/>
      </c>
    </row>
    <row r="14">
      <c r="A14" s="17" t="inlineStr">
        <is>
          <t>N-001</t>
        </is>
      </c>
      <c r="B14" s="17">
        <f>IF(A14="","",IFERROR(VLOOKUP(A14,Notificações!$A:$B,2,FALSE),"ID não encontrado"))</f>
        <v/>
      </c>
      <c r="C14" s="17" t="inlineStr">
        <is>
          <t>13</t>
        </is>
      </c>
      <c r="D14" s="17" t="inlineStr">
        <is>
          <t>EST-DOCS</t>
        </is>
      </c>
      <c r="E14" s="17">
        <f>IF(D14="","",IFERROR(VLOOKUP(D14,Catálogo!$A:$D,2,FALSE),"Código não está no Catálogo"))</f>
        <v/>
      </c>
      <c r="F14" s="17">
        <f>IF(D14="","",IFERROR(VLOOKUP(D14,Catálogo!$A:$D,4,FALSE),""))</f>
        <v/>
      </c>
      <c r="G14" s="17" t="inlineStr">
        <is>
          <t>Matrícula e frequência dos estagiários</t>
        </is>
      </c>
      <c r="H14" s="17">
        <f>IF(D14="",0,IF(COUNTIFS($A$2:A14,A14,$D$2:D14,D14)=1,1,0))</f>
        <v/>
      </c>
      <c r="I14" s="17" t="inlineStr">
        <is>
          <t>A confirmar</t>
        </is>
      </c>
      <c r="J14" s="17" t="inlineStr"/>
      <c r="K14" s="18" t="n"/>
      <c r="L14" s="17" t="inlineStr"/>
      <c r="M14">
        <f>IF(AND(B14&lt;&gt;"",B14='Por empresa'!$B$2),COUNTIF($B$2:B14,'Por empresa'!$B$2),"")</f>
        <v/>
      </c>
    </row>
    <row r="15">
      <c r="A15" s="17" t="inlineStr">
        <is>
          <t>N-001</t>
        </is>
      </c>
      <c r="B15" s="17">
        <f>IF(A15="","",IFERROR(VLOOKUP(A15,Notificações!$A:$B,2,FALSE),"ID não encontrado"))</f>
        <v/>
      </c>
      <c r="C15" s="17" t="inlineStr">
        <is>
          <t>14</t>
        </is>
      </c>
      <c r="D15" s="17" t="inlineStr">
        <is>
          <t>EST-DOCS</t>
        </is>
      </c>
      <c r="E15" s="17">
        <f>IF(D15="","",IFERROR(VLOOKUP(D15,Catálogo!$A:$D,2,FALSE),"Código não está no Catálogo"))</f>
        <v/>
      </c>
      <c r="F15" s="17">
        <f>IF(D15="","",IFERROR(VLOOKUP(D15,Catálogo!$A:$D,4,FALSE),""))</f>
        <v/>
      </c>
      <c r="G15" s="17" t="inlineStr">
        <is>
          <t>Apólices de seguro dos estagiários</t>
        </is>
      </c>
      <c r="H15" s="17">
        <f>IF(D15="",0,IF(COUNTIFS($A$2:A15,A15,$D$2:D15,D15)=1,1,0))</f>
        <v/>
      </c>
      <c r="I15" s="17" t="inlineStr">
        <is>
          <t>A confirmar</t>
        </is>
      </c>
      <c r="J15" s="17" t="inlineStr"/>
      <c r="K15" s="18" t="n"/>
      <c r="L15" s="17" t="inlineStr"/>
      <c r="M15">
        <f>IF(AND(B15&lt;&gt;"",B15='Por empresa'!$B$2),COUNTIF($B$2:B15,'Por empresa'!$B$2),"")</f>
        <v/>
      </c>
    </row>
    <row r="16">
      <c r="A16" s="17" t="inlineStr">
        <is>
          <t>N-001</t>
        </is>
      </c>
      <c r="B16" s="17">
        <f>IF(A16="","",IFERROR(VLOOKUP(A16,Notificações!$A:$B,2,FALSE),"ID não encontrado"))</f>
        <v/>
      </c>
      <c r="C16" s="17" t="inlineStr">
        <is>
          <t>15</t>
        </is>
      </c>
      <c r="D16" s="17" t="inlineStr">
        <is>
          <t>EST-DOCS</t>
        </is>
      </c>
      <c r="E16" s="17">
        <f>IF(D16="","",IFERROR(VLOOKUP(D16,Catálogo!$A:$D,2,FALSE),"Código não está no Catálogo"))</f>
        <v/>
      </c>
      <c r="F16" s="17">
        <f>IF(D16="","",IFERROR(VLOOKUP(D16,Catálogo!$A:$D,4,FALSE),""))</f>
        <v/>
      </c>
      <c r="G16" s="17" t="inlineStr">
        <is>
          <t>Descrição das atividades de cada estagiário</t>
        </is>
      </c>
      <c r="H16" s="17">
        <f>IF(D16="",0,IF(COUNTIFS($A$2:A16,A16,$D$2:D16,D16)=1,1,0))</f>
        <v/>
      </c>
      <c r="I16" s="17" t="inlineStr">
        <is>
          <t>A confirmar</t>
        </is>
      </c>
      <c r="J16" s="17" t="inlineStr"/>
      <c r="K16" s="18" t="n"/>
      <c r="L16" s="17" t="inlineStr"/>
      <c r="M16">
        <f>IF(AND(B16&lt;&gt;"",B16='Por empresa'!$B$2),COUNTIF($B$2:B16,'Por empresa'!$B$2),"")</f>
        <v/>
      </c>
    </row>
    <row r="17">
      <c r="A17" s="17" t="inlineStr">
        <is>
          <t>N-001</t>
        </is>
      </c>
      <c r="B17" s="17">
        <f>IF(A17="","",IFERROR(VLOOKUP(A17,Notificações!$A:$B,2,FALSE),"ID não encontrado"))</f>
        <v/>
      </c>
      <c r="C17" s="17" t="inlineStr">
        <is>
          <t>16</t>
        </is>
      </c>
      <c r="D17" s="17" t="inlineStr">
        <is>
          <t>APR-REL</t>
        </is>
      </c>
      <c r="E17" s="17">
        <f>IF(D17="","",IFERROR(VLOOKUP(D17,Catálogo!$A:$D,2,FALSE),"Código não está no Catálogo"))</f>
        <v/>
      </c>
      <c r="F17" s="17">
        <f>IF(D17="","",IFERROR(VLOOKUP(D17,Catálogo!$A:$D,4,FALSE),""))</f>
        <v/>
      </c>
      <c r="G17" s="17" t="inlineStr">
        <is>
          <t>Relação de aprendizes ativos (Excel)</t>
        </is>
      </c>
      <c r="H17" s="17">
        <f>IF(D17="",0,IF(COUNTIFS($A$2:A17,A17,$D$2:D17,D17)=1,1,0))</f>
        <v/>
      </c>
      <c r="I17" s="17" t="inlineStr">
        <is>
          <t>A confirmar</t>
        </is>
      </c>
      <c r="J17" s="17" t="inlineStr"/>
      <c r="K17" s="18" t="n"/>
      <c r="L17" s="17" t="inlineStr"/>
      <c r="M17">
        <f>IF(AND(B17&lt;&gt;"",B17='Por empresa'!$B$2),COUNTIF($B$2:B17,'Por empresa'!$B$2),"")</f>
        <v/>
      </c>
    </row>
    <row r="18">
      <c r="A18" s="17" t="inlineStr">
        <is>
          <t>N-001</t>
        </is>
      </c>
      <c r="B18" s="17">
        <f>IF(A18="","",IFERROR(VLOOKUP(A18,Notificações!$A:$B,2,FALSE),"ID não encontrado"))</f>
        <v/>
      </c>
      <c r="C18" s="17" t="inlineStr">
        <is>
          <t>17</t>
        </is>
      </c>
      <c r="D18" s="17" t="inlineStr">
        <is>
          <t>APR-DOCS</t>
        </is>
      </c>
      <c r="E18" s="17">
        <f>IF(D18="","",IFERROR(VLOOKUP(D18,Catálogo!$A:$D,2,FALSE),"Código não está no Catálogo"))</f>
        <v/>
      </c>
      <c r="F18" s="17">
        <f>IF(D18="","",IFERROR(VLOOKUP(D18,Catálogo!$A:$D,4,FALSE),""))</f>
        <v/>
      </c>
      <c r="G18" s="17" t="inlineStr">
        <is>
          <t>Contratos de aprendizagem</t>
        </is>
      </c>
      <c r="H18" s="17">
        <f>IF(D18="",0,IF(COUNTIFS($A$2:A18,A18,$D$2:D18,D18)=1,1,0))</f>
        <v/>
      </c>
      <c r="I18" s="17" t="inlineStr">
        <is>
          <t>A confirmar</t>
        </is>
      </c>
      <c r="J18" s="17" t="inlineStr"/>
      <c r="K18" s="18" t="n"/>
      <c r="L18" s="17" t="inlineStr"/>
      <c r="M18">
        <f>IF(AND(B18&lt;&gt;"",B18='Por empresa'!$B$2),COUNTIF($B$2:B18,'Por empresa'!$B$2),"")</f>
        <v/>
      </c>
    </row>
    <row r="19">
      <c r="A19" s="17" t="inlineStr">
        <is>
          <t>N-001</t>
        </is>
      </c>
      <c r="B19" s="17">
        <f>IF(A19="","",IFERROR(VLOOKUP(A19,Notificações!$A:$B,2,FALSE),"ID não encontrado"))</f>
        <v/>
      </c>
      <c r="C19" s="17" t="inlineStr">
        <is>
          <t>18</t>
        </is>
      </c>
      <c r="D19" s="17" t="inlineStr">
        <is>
          <t>APR-DOCS</t>
        </is>
      </c>
      <c r="E19" s="17">
        <f>IF(D19="","",IFERROR(VLOOKUP(D19,Catálogo!$A:$D,2,FALSE),"Código não está no Catálogo"))</f>
        <v/>
      </c>
      <c r="F19" s="17">
        <f>IF(D19="","",IFERROR(VLOOKUP(D19,Catálogo!$A:$D,4,FALSE),""))</f>
        <v/>
      </c>
      <c r="G19" s="17" t="inlineStr">
        <is>
          <t>Declaração de matrícula – entidade formadora</t>
        </is>
      </c>
      <c r="H19" s="17">
        <f>IF(D19="",0,IF(COUNTIFS($A$2:A19,A19,$D$2:D19,D19)=1,1,0))</f>
        <v/>
      </c>
      <c r="I19" s="17" t="inlineStr">
        <is>
          <t>A confirmar</t>
        </is>
      </c>
      <c r="J19" s="17" t="inlineStr"/>
      <c r="K19" s="18" t="n"/>
      <c r="L19" s="17" t="inlineStr"/>
      <c r="M19">
        <f>IF(AND(B19&lt;&gt;"",B19='Por empresa'!$B$2),COUNTIF($B$2:B19,'Por empresa'!$B$2),"")</f>
        <v/>
      </c>
    </row>
    <row r="20">
      <c r="A20" s="17" t="inlineStr">
        <is>
          <t>N-001</t>
        </is>
      </c>
      <c r="B20" s="17">
        <f>IF(A20="","",IFERROR(VLOOKUP(A20,Notificações!$A:$B,2,FALSE),"ID não encontrado"))</f>
        <v/>
      </c>
      <c r="C20" s="17" t="inlineStr">
        <is>
          <t>19</t>
        </is>
      </c>
      <c r="D20" s="17" t="inlineStr">
        <is>
          <t>APR-DOCS</t>
        </is>
      </c>
      <c r="E20" s="17">
        <f>IF(D20="","",IFERROR(VLOOKUP(D20,Catálogo!$A:$D,2,FALSE),"Código não está no Catálogo"))</f>
        <v/>
      </c>
      <c r="F20" s="17">
        <f>IF(D20="","",IFERROR(VLOOKUP(D20,Catálogo!$A:$D,4,FALSE),""))</f>
        <v/>
      </c>
      <c r="G20" s="17" t="inlineStr">
        <is>
          <t>Declaração de matrícula – escola regular</t>
        </is>
      </c>
      <c r="H20" s="17">
        <f>IF(D20="",0,IF(COUNTIFS($A$2:A20,A20,$D$2:D20,D20)=1,1,0))</f>
        <v/>
      </c>
      <c r="I20" s="17" t="inlineStr">
        <is>
          <t>A confirmar</t>
        </is>
      </c>
      <c r="J20" s="17" t="inlineStr"/>
      <c r="K20" s="18" t="n"/>
      <c r="L20" s="17" t="inlineStr"/>
      <c r="M20">
        <f>IF(AND(B20&lt;&gt;"",B20='Por empresa'!$B$2),COUNTIF($B$2:B20,'Por empresa'!$B$2),"")</f>
        <v/>
      </c>
    </row>
    <row r="21">
      <c r="A21" s="17" t="inlineStr">
        <is>
          <t>N-001</t>
        </is>
      </c>
      <c r="B21" s="17">
        <f>IF(A21="","",IFERROR(VLOOKUP(A21,Notificações!$A:$B,2,FALSE),"ID não encontrado"))</f>
        <v/>
      </c>
      <c r="C21" s="17" t="inlineStr">
        <is>
          <t>20</t>
        </is>
      </c>
      <c r="D21" s="17" t="inlineStr">
        <is>
          <t>PGR</t>
        </is>
      </c>
      <c r="E21" s="17">
        <f>IF(D21="","",IFERROR(VLOOKUP(D21,Catálogo!$A:$D,2,FALSE),"Código não está no Catálogo"))</f>
        <v/>
      </c>
      <c r="F21" s="17">
        <f>IF(D21="","",IFERROR(VLOOKUP(D21,Catálogo!$A:$D,4,FALSE),""))</f>
        <v/>
      </c>
      <c r="G21" s="17" t="inlineStr">
        <is>
          <t>PGR com inventário, plano de ação e anexos</t>
        </is>
      </c>
      <c r="H21" s="17">
        <f>IF(D21="",0,IF(COUNTIFS($A$2:A21,A21,$D$2:D21,D21)=1,1,0))</f>
        <v/>
      </c>
      <c r="I21" s="17" t="inlineStr">
        <is>
          <t>A confirmar</t>
        </is>
      </c>
      <c r="J21" s="17" t="inlineStr"/>
      <c r="K21" s="18" t="n"/>
      <c r="L21" s="17" t="inlineStr"/>
      <c r="M21">
        <f>IF(AND(B21&lt;&gt;"",B21='Por empresa'!$B$2),COUNTIF($B$2:B21,'Por empresa'!$B$2),"")</f>
        <v/>
      </c>
    </row>
    <row r="22">
      <c r="A22" s="17" t="inlineStr">
        <is>
          <t>N-001</t>
        </is>
      </c>
      <c r="B22" s="17">
        <f>IF(A22="","",IFERROR(VLOOKUP(A22,Notificações!$A:$B,2,FALSE),"ID não encontrado"))</f>
        <v/>
      </c>
      <c r="C22" s="17" t="inlineStr">
        <is>
          <t>21</t>
        </is>
      </c>
      <c r="D22" s="17" t="inlineStr">
        <is>
          <t>ASO</t>
        </is>
      </c>
      <c r="E22" s="17">
        <f>IF(D22="","",IFERROR(VLOOKUP(D22,Catálogo!$A:$D,2,FALSE),"Código não está no Catálogo"))</f>
        <v/>
      </c>
      <c r="F22" s="17">
        <f>IF(D22="","",IFERROR(VLOOKUP(D22,Catálogo!$A:$D,4,FALSE),""))</f>
        <v/>
      </c>
      <c r="G22" s="17" t="inlineStr">
        <is>
          <t>ASO admissional de todos os ativos</t>
        </is>
      </c>
      <c r="H22" s="17">
        <f>IF(D22="",0,IF(COUNTIFS($A$2:A22,A22,$D$2:D22,D22)=1,1,0))</f>
        <v/>
      </c>
      <c r="I22" s="17" t="inlineStr">
        <is>
          <t>A confirmar</t>
        </is>
      </c>
      <c r="J22" s="17" t="inlineStr"/>
      <c r="K22" s="18" t="n"/>
      <c r="L22" s="17" t="inlineStr"/>
      <c r="M22">
        <f>IF(AND(B22&lt;&gt;"",B22='Por empresa'!$B$2),COUNTIF($B$2:B22,'Por empresa'!$B$2),"")</f>
        <v/>
      </c>
    </row>
    <row r="23">
      <c r="A23" s="17" t="inlineStr">
        <is>
          <t>N-001</t>
        </is>
      </c>
      <c r="B23" s="17">
        <f>IF(A23="","",IFERROR(VLOOKUP(A23,Notificações!$A:$B,2,FALSE),"ID não encontrado"))</f>
        <v/>
      </c>
      <c r="C23" s="17" t="inlineStr">
        <is>
          <t>22</t>
        </is>
      </c>
      <c r="D23" s="17" t="inlineStr">
        <is>
          <t>EPI</t>
        </is>
      </c>
      <c r="E23" s="17">
        <f>IF(D23="","",IFERROR(VLOOKUP(D23,Catálogo!$A:$D,2,FALSE),"Código não está no Catálogo"))</f>
        <v/>
      </c>
      <c r="F23" s="17">
        <f>IF(D23="","",IFERROR(VLOOKUP(D23,Catálogo!$A:$D,4,FALSE),""))</f>
        <v/>
      </c>
      <c r="G23" s="17" t="inlineStr">
        <is>
          <t>Comprovantes de entrega de EPI</t>
        </is>
      </c>
      <c r="H23" s="17">
        <f>IF(D23="",0,IF(COUNTIFS($A$2:A23,A23,$D$2:D23,D23)=1,1,0))</f>
        <v/>
      </c>
      <c r="I23" s="17" t="inlineStr">
        <is>
          <t>A confirmar</t>
        </is>
      </c>
      <c r="J23" s="17" t="inlineStr"/>
      <c r="K23" s="18" t="n"/>
      <c r="L23" s="17" t="inlineStr"/>
      <c r="M23">
        <f>IF(AND(B23&lt;&gt;"",B23='Por empresa'!$B$2),COUNTIF($B$2:B23,'Por empresa'!$B$2),"")</f>
        <v/>
      </c>
    </row>
    <row r="24">
      <c r="A24" s="17" t="inlineStr">
        <is>
          <t>N-001</t>
        </is>
      </c>
      <c r="B24" s="17">
        <f>IF(A24="","",IFERROR(VLOOKUP(A24,Notificações!$A:$B,2,FALSE),"ID não encontrado"))</f>
        <v/>
      </c>
      <c r="C24" s="17" t="inlineStr">
        <is>
          <t>23</t>
        </is>
      </c>
      <c r="D24" s="17" t="inlineStr">
        <is>
          <t>NR05-DESIG</t>
        </is>
      </c>
      <c r="E24" s="17">
        <f>IF(D24="","",IFERROR(VLOOKUP(D24,Catálogo!$A:$D,2,FALSE),"Código não está no Catálogo"))</f>
        <v/>
      </c>
      <c r="F24" s="17">
        <f>IF(D24="","",IFERROR(VLOOKUP(D24,Catálogo!$A:$D,4,FALSE),""))</f>
        <v/>
      </c>
      <c r="G24" s="17" t="inlineStr">
        <is>
          <t>Nomeação do designado NR-05</t>
        </is>
      </c>
      <c r="H24" s="17">
        <f>IF(D24="",0,IF(COUNTIFS($A$2:A24,A24,$D$2:D24,D24)=1,1,0))</f>
        <v/>
      </c>
      <c r="I24" s="17" t="inlineStr">
        <is>
          <t>A confirmar</t>
        </is>
      </c>
      <c r="J24" s="17" t="inlineStr"/>
      <c r="K24" s="18" t="n"/>
      <c r="L24" s="17" t="inlineStr"/>
      <c r="M24">
        <f>IF(AND(B24&lt;&gt;"",B24='Por empresa'!$B$2),COUNTIF($B$2:B24,'Por empresa'!$B$2),"")</f>
        <v/>
      </c>
    </row>
    <row r="25">
      <c r="A25" s="17" t="inlineStr">
        <is>
          <t>N-001</t>
        </is>
      </c>
      <c r="B25" s="17">
        <f>IF(A25="","",IFERROR(VLOOKUP(A25,Notificações!$A:$B,2,FALSE),"ID não encontrado"))</f>
        <v/>
      </c>
      <c r="C25" s="17" t="inlineStr">
        <is>
          <t>24</t>
        </is>
      </c>
      <c r="D25" s="17" t="inlineStr">
        <is>
          <t>NR05-DESIG</t>
        </is>
      </c>
      <c r="E25" s="17">
        <f>IF(D25="","",IFERROR(VLOOKUP(D25,Catálogo!$A:$D,2,FALSE),"Código não está no Catálogo"))</f>
        <v/>
      </c>
      <c r="F25" s="17">
        <f>IF(D25="","",IFERROR(VLOOKUP(D25,Catálogo!$A:$D,4,FALSE),""))</f>
        <v/>
      </c>
      <c r="G25" s="17" t="inlineStr">
        <is>
          <t>Treinamento do designado NR-05 (item 5.7.1)</t>
        </is>
      </c>
      <c r="H25" s="17">
        <f>IF(D25="",0,IF(COUNTIFS($A$2:A25,A25,$D$2:D25,D25)=1,1,0))</f>
        <v/>
      </c>
      <c r="I25" s="17" t="inlineStr">
        <is>
          <t>A confirmar</t>
        </is>
      </c>
      <c r="J25" s="17" t="inlineStr"/>
      <c r="K25" s="18" t="n"/>
      <c r="L25" s="17" t="inlineStr"/>
      <c r="M25">
        <f>IF(AND(B25&lt;&gt;"",B25='Por empresa'!$B$2),COUNTIF($B$2:B25,'Por empresa'!$B$2),"")</f>
        <v/>
      </c>
    </row>
    <row r="26">
      <c r="A26" s="17" t="inlineStr">
        <is>
          <t>N-001</t>
        </is>
      </c>
      <c r="B26" s="17">
        <f>IF(A26="","",IFERROR(VLOOKUP(A26,Notificações!$A:$B,2,FALSE),"ID não encontrado"))</f>
        <v/>
      </c>
      <c r="C26" s="17" t="inlineStr">
        <is>
          <t>25</t>
        </is>
      </c>
      <c r="D26" s="17" t="inlineStr">
        <is>
          <t>CIPA</t>
        </is>
      </c>
      <c r="E26" s="17">
        <f>IF(D26="","",IFERROR(VLOOKUP(D26,Catálogo!$A:$D,2,FALSE),"Código não está no Catálogo"))</f>
        <v/>
      </c>
      <c r="F26" s="17">
        <f>IF(D26="","",IFERROR(VLOOKUP(D26,Catálogo!$A:$D,4,FALSE),""))</f>
        <v/>
      </c>
      <c r="G26" s="17" t="inlineStr">
        <is>
          <t>Documentação da CIPA (se enquadrada no Quadro I)</t>
        </is>
      </c>
      <c r="H26" s="17">
        <f>IF(D26="",0,IF(COUNTIFS($A$2:A26,A26,$D$2:D26,D26)=1,1,0))</f>
        <v/>
      </c>
      <c r="I26" s="17" t="inlineStr">
        <is>
          <t>A confirmar</t>
        </is>
      </c>
      <c r="J26" s="17" t="inlineStr">
        <is>
          <t>Última gestão</t>
        </is>
      </c>
      <c r="K26" s="18" t="n"/>
      <c r="L26" s="17" t="inlineStr"/>
      <c r="M26">
        <f>IF(AND(B26&lt;&gt;"",B26='Por empresa'!$B$2),COUNTIF($B$2:B26,'Por empresa'!$B$2),"")</f>
        <v/>
      </c>
    </row>
    <row r="27">
      <c r="A27" s="17" t="inlineStr">
        <is>
          <t>N-001</t>
        </is>
      </c>
      <c r="B27" s="17">
        <f>IF(A27="","",IFERROR(VLOOKUP(A27,Notificações!$A:$B,2,FALSE),"ID não encontrado"))</f>
        <v/>
      </c>
      <c r="C27" s="17" t="inlineStr">
        <is>
          <t>26</t>
        </is>
      </c>
      <c r="D27" s="17" t="inlineStr">
        <is>
          <t>EMP-ESPEC</t>
        </is>
      </c>
      <c r="E27" s="17">
        <f>IF(D27="","",IFERROR(VLOOKUP(D27,Catálogo!$A:$D,2,FALSE),"Código não está no Catálogo"))</f>
        <v/>
      </c>
      <c r="F27" s="17">
        <f>IF(D27="","",IFERROR(VLOOKUP(D27,Catálogo!$A:$D,4,FALSE),""))</f>
        <v/>
      </c>
      <c r="G27" s="17" t="inlineStr">
        <is>
          <t>Documentos de Rafael dos Anjos Santos, Ramom Silveira de Carvalho e Tiago Gonçalves Silva Carvalho</t>
        </is>
      </c>
      <c r="H27" s="17">
        <f>IF(D27="",0,IF(COUNTIFS($A$2:A27,A27,$D$2:D27,D27)=1,1,0))</f>
        <v/>
      </c>
      <c r="I27" s="17" t="inlineStr">
        <is>
          <t>A confirmar</t>
        </is>
      </c>
      <c r="J27" s="17" t="inlineStr"/>
      <c r="K27" s="18" t="n"/>
      <c r="L27" s="17" t="inlineStr"/>
      <c r="M27">
        <f>IF(AND(B27&lt;&gt;"",B27='Por empresa'!$B$2),COUNTIF($B$2:B27,'Por empresa'!$B$2),"")</f>
        <v/>
      </c>
    </row>
    <row r="28">
      <c r="A28" s="17" t="inlineStr">
        <is>
          <t>N-001</t>
        </is>
      </c>
      <c r="B28" s="17">
        <f>IF(A28="","",IFERROR(VLOOKUP(A28,Notificações!$A:$B,2,FALSE),"ID não encontrado"))</f>
        <v/>
      </c>
      <c r="C28" s="17" t="inlineStr">
        <is>
          <t>27</t>
        </is>
      </c>
      <c r="D28" s="17" t="inlineStr">
        <is>
          <t>TREIN</t>
        </is>
      </c>
      <c r="E28" s="17">
        <f>IF(D28="","",IFERROR(VLOOKUP(D28,Catálogo!$A:$D,2,FALSE),"Código não está no Catálogo"))</f>
        <v/>
      </c>
      <c r="F28" s="17">
        <f>IF(D28="","",IFERROR(VLOOKUP(D28,Catálogo!$A:$D,4,FALSE),""))</f>
        <v/>
      </c>
      <c r="G28" s="17" t="inlineStr">
        <is>
          <t>(manuscrito) Certificado de treinamento dos operadores de empilhadeira e crachá de identificação</t>
        </is>
      </c>
      <c r="H28" s="17">
        <f>IF(D28="",0,IF(COUNTIFS($A$2:A28,A28,$D$2:D28,D28)=1,1,0))</f>
        <v/>
      </c>
      <c r="I28" s="17" t="inlineStr">
        <is>
          <t>A confirmar</t>
        </is>
      </c>
      <c r="J28" s="17" t="inlineStr"/>
      <c r="K28" s="18" t="n"/>
      <c r="L28" s="17" t="inlineStr"/>
      <c r="M28">
        <f>IF(AND(B28&lt;&gt;"",B28='Por empresa'!$B$2),COUNTIF($B$2:B28,'Por empresa'!$B$2),"")</f>
        <v/>
      </c>
    </row>
    <row r="29">
      <c r="A29" s="17" t="inlineStr">
        <is>
          <t>N-001</t>
        </is>
      </c>
      <c r="B29" s="17">
        <f>IF(A29="","",IFERROR(VLOOKUP(A29,Notificações!$A:$B,2,FALSE),"ID não encontrado"))</f>
        <v/>
      </c>
      <c r="C29" s="17" t="inlineStr">
        <is>
          <t>28</t>
        </is>
      </c>
      <c r="D29" s="17" t="inlineStr">
        <is>
          <t>NR24</t>
        </is>
      </c>
      <c r="E29" s="17">
        <f>IF(D29="","",IFERROR(VLOOKUP(D29,Catálogo!$A:$D,2,FALSE),"Código não está no Catálogo"))</f>
        <v/>
      </c>
      <c r="F29" s="17">
        <f>IF(D29="","",IFERROR(VLOOKUP(D29,Catálogo!$A:$D,4,FALSE),""))</f>
        <v/>
      </c>
      <c r="G29" s="17" t="inlineStr">
        <is>
          <t>(manuscrito) Prover os lavatórios de papel-toalha</t>
        </is>
      </c>
      <c r="H29" s="17">
        <f>IF(D29="",0,IF(COUNTIFS($A$2:A29,A29,$D$2:D29,D29)=1,1,0))</f>
        <v/>
      </c>
      <c r="I29" s="17" t="inlineStr">
        <is>
          <t>A confirmar</t>
        </is>
      </c>
      <c r="J29" s="17" t="inlineStr"/>
      <c r="K29" s="18" t="n"/>
      <c r="L29" s="17" t="inlineStr"/>
      <c r="M29">
        <f>IF(AND(B29&lt;&gt;"",B29='Por empresa'!$B$2),COUNTIF($B$2:B29,'Por empresa'!$B$2),"")</f>
        <v/>
      </c>
    </row>
    <row r="30">
      <c r="A30" s="17" t="inlineStr">
        <is>
          <t>N-001</t>
        </is>
      </c>
      <c r="B30" s="17">
        <f>IF(A30="","",IFERROR(VLOOKUP(A30,Notificações!$A:$B,2,FALSE),"ID não encontrado"))</f>
        <v/>
      </c>
      <c r="C30" s="17" t="inlineStr">
        <is>
          <t>29</t>
        </is>
      </c>
      <c r="D30" s="17" t="inlineStr">
        <is>
          <t>EPI</t>
        </is>
      </c>
      <c r="E30" s="17">
        <f>IF(D30="","",IFERROR(VLOOKUP(D30,Catálogo!$A:$D,2,FALSE),"Código não está no Catálogo"))</f>
        <v/>
      </c>
      <c r="F30" s="17">
        <f>IF(D30="","",IFERROR(VLOOKUP(D30,Catálogo!$A:$D,4,FALSE),""))</f>
        <v/>
      </c>
      <c r="G30" s="17" t="inlineStr">
        <is>
          <t>(manuscrito) Luva de aço para os açougueiros</t>
        </is>
      </c>
      <c r="H30" s="17">
        <f>IF(D30="",0,IF(COUNTIFS($A$2:A30,A30,$D$2:D30,D30)=1,1,0))</f>
        <v/>
      </c>
      <c r="I30" s="17" t="inlineStr">
        <is>
          <t>A confirmar</t>
        </is>
      </c>
      <c r="J30" s="17" t="inlineStr"/>
      <c r="K30" s="18" t="n"/>
      <c r="L30" s="17" t="inlineStr"/>
      <c r="M30">
        <f>IF(AND(B30&lt;&gt;"",B30='Por empresa'!$B$2),COUNTIF($B$2:B30,'Por empresa'!$B$2),"")</f>
        <v/>
      </c>
    </row>
    <row r="31">
      <c r="A31" s="17" t="inlineStr">
        <is>
          <t>N-001</t>
        </is>
      </c>
      <c r="B31" s="17">
        <f>IF(A31="","",IFERROR(VLOOKUP(A31,Notificações!$A:$B,2,FALSE),"ID não encontrado"))</f>
        <v/>
      </c>
      <c r="C31" s="17" t="inlineStr">
        <is>
          <t>30</t>
        </is>
      </c>
      <c r="D31" s="17" t="inlineStr">
        <is>
          <t>ARMAZ</t>
        </is>
      </c>
      <c r="E31" s="17">
        <f>IF(D31="","",IFERROR(VLOOKUP(D31,Catálogo!$A:$D,2,FALSE),"Código não está no Catálogo"))</f>
        <v/>
      </c>
      <c r="F31" s="17">
        <f>IF(D31="","",IFERROR(VLOOKUP(D31,Catálogo!$A:$D,4,FALSE),""))</f>
        <v/>
      </c>
      <c r="G31" s="17" t="inlineStr">
        <is>
          <t>(manuscrito) Manter material armazenado a no mínimo 50 cm das paredes</t>
        </is>
      </c>
      <c r="H31" s="17">
        <f>IF(D31="",0,IF(COUNTIFS($A$2:A31,A31,$D$2:D31,D31)=1,1,0))</f>
        <v/>
      </c>
      <c r="I31" s="17" t="inlineStr">
        <is>
          <t>A confirmar</t>
        </is>
      </c>
      <c r="J31" s="17" t="inlineStr"/>
      <c r="K31" s="18" t="n"/>
      <c r="L31" s="17" t="inlineStr"/>
      <c r="M31">
        <f>IF(AND(B31&lt;&gt;"",B31='Por empresa'!$B$2),COUNTIF($B$2:B31,'Por empresa'!$B$2),"")</f>
        <v/>
      </c>
    </row>
    <row r="32">
      <c r="A32" s="17" t="inlineStr">
        <is>
          <t>N-002</t>
        </is>
      </c>
      <c r="B32" s="17">
        <f>IF(A32="","",IFERROR(VLOOKUP(A32,Notificações!$A:$B,2,FALSE),"ID não encontrado"))</f>
        <v/>
      </c>
      <c r="C32" s="17" t="inlineStr">
        <is>
          <t>01</t>
        </is>
      </c>
      <c r="D32" s="17" t="inlineStr">
        <is>
          <t>CONTRATO</t>
        </is>
      </c>
      <c r="E32" s="17">
        <f>IF(D32="","",IFERROR(VLOOKUP(D32,Catálogo!$A:$D,2,FALSE),"Código não está no Catálogo"))</f>
        <v/>
      </c>
      <c r="F32" s="17">
        <f>IF(D32="","",IFERROR(VLOOKUP(D32,Catálogo!$A:$D,4,FALSE),""))</f>
        <v/>
      </c>
      <c r="G32" s="17" t="inlineStr">
        <is>
          <t>Última alteração contratual e comprovação de porte (ME/EPP)</t>
        </is>
      </c>
      <c r="H32" s="17">
        <f>IF(D32="",0,IF(COUNTIFS($A$2:A32,A32,$D$2:D32,D32)=1,1,0))</f>
        <v/>
      </c>
      <c r="I32" s="17" t="inlineStr">
        <is>
          <t>A confirmar</t>
        </is>
      </c>
      <c r="J32" s="17" t="inlineStr"/>
      <c r="K32" s="18" t="n"/>
      <c r="L32" s="17" t="inlineStr"/>
      <c r="M32">
        <f>IF(AND(B32&lt;&gt;"",B32='Por empresa'!$B$2),COUNTIF($B$2:B32,'Por empresa'!$B$2),"")</f>
        <v/>
      </c>
    </row>
    <row r="33">
      <c r="A33" s="17" t="inlineStr">
        <is>
          <t>N-002</t>
        </is>
      </c>
      <c r="B33" s="17">
        <f>IF(A33="","",IFERROR(VLOOKUP(A33,Notificações!$A:$B,2,FALSE),"ID não encontrado"))</f>
        <v/>
      </c>
      <c r="C33" s="17" t="inlineStr">
        <is>
          <t>02</t>
        </is>
      </c>
      <c r="D33" s="17" t="inlineStr">
        <is>
          <t>REL-EMP</t>
        </is>
      </c>
      <c r="E33" s="17">
        <f>IF(D33="","",IFERROR(VLOOKUP(D33,Catálogo!$A:$D,2,FALSE),"Código não está no Catálogo"))</f>
        <v/>
      </c>
      <c r="F33" s="17">
        <f>IF(D33="","",IFERROR(VLOOKUP(D33,Catálogo!$A:$D,4,FALSE),""))</f>
        <v/>
      </c>
      <c r="G33" s="17" t="inlineStr">
        <is>
          <t>Relação nominal de empregados (CPF, salário, função, setor, admissão; total por gênero)</t>
        </is>
      </c>
      <c r="H33" s="17">
        <f>IF(D33="",0,IF(COUNTIFS($A$2:A33,A33,$D$2:D33,D33)=1,1,0))</f>
        <v/>
      </c>
      <c r="I33" s="17" t="inlineStr">
        <is>
          <t>A confirmar</t>
        </is>
      </c>
      <c r="J33" s="17" t="inlineStr"/>
      <c r="K33" s="18" t="n"/>
      <c r="L33" s="17" t="inlineStr"/>
      <c r="M33">
        <f>IF(AND(B33&lt;&gt;"",B33='Por empresa'!$B$2),COUNTIF($B$2:B33,'Por empresa'!$B$2),"")</f>
        <v/>
      </c>
    </row>
    <row r="34">
      <c r="A34" s="17" t="inlineStr">
        <is>
          <t>N-002</t>
        </is>
      </c>
      <c r="B34" s="17">
        <f>IF(A34="","",IFERROR(VLOOKUP(A34,Notificações!$A:$B,2,FALSE),"ID não encontrado"))</f>
        <v/>
      </c>
      <c r="C34" s="17" t="inlineStr">
        <is>
          <t>03</t>
        </is>
      </c>
      <c r="D34" s="17" t="inlineStr">
        <is>
          <t>PCMSO</t>
        </is>
      </c>
      <c r="E34" s="17">
        <f>IF(D34="","",IFERROR(VLOOKUP(D34,Catálogo!$A:$D,2,FALSE),"Código não está no Catálogo"))</f>
        <v/>
      </c>
      <c r="F34" s="17">
        <f>IF(D34="","",IFERROR(VLOOKUP(D34,Catálogo!$A:$D,4,FALSE),""))</f>
        <v/>
      </c>
      <c r="G34" s="17" t="inlineStr">
        <is>
          <t>PCMSO e relatório analítico</t>
        </is>
      </c>
      <c r="H34" s="17">
        <f>IF(D34="",0,IF(COUNTIFS($A$2:A34,A34,$D$2:D34,D34)=1,1,0))</f>
        <v/>
      </c>
      <c r="I34" s="17" t="inlineStr">
        <is>
          <t>A confirmar</t>
        </is>
      </c>
      <c r="J34" s="17" t="inlineStr"/>
      <c r="K34" s="18" t="n"/>
      <c r="L34" s="17" t="inlineStr"/>
      <c r="M34">
        <f>IF(AND(B34&lt;&gt;"",B34='Por empresa'!$B$2),COUNTIF($B$2:B34,'Por empresa'!$B$2),"")</f>
        <v/>
      </c>
    </row>
    <row r="35">
      <c r="A35" s="17" t="inlineStr">
        <is>
          <t>N-002</t>
        </is>
      </c>
      <c r="B35" s="17">
        <f>IF(A35="","",IFERROR(VLOOKUP(A35,Notificações!$A:$B,2,FALSE),"ID não encontrado"))</f>
        <v/>
      </c>
      <c r="C35" s="17" t="inlineStr">
        <is>
          <t>04</t>
        </is>
      </c>
      <c r="D35" s="17" t="inlineStr">
        <is>
          <t>ASO</t>
        </is>
      </c>
      <c r="E35" s="17">
        <f>IF(D35="","",IFERROR(VLOOKUP(D35,Catálogo!$A:$D,2,FALSE),"Código não está no Catálogo"))</f>
        <v/>
      </c>
      <c r="F35" s="17">
        <f>IF(D35="","",IFERROR(VLOOKUP(D35,Catálogo!$A:$D,4,FALSE),""))</f>
        <v/>
      </c>
      <c r="G35" s="17" t="inlineStr">
        <is>
          <t>ASO admissional, periódicos (2 últimos), mudança de função e demissional</t>
        </is>
      </c>
      <c r="H35" s="17">
        <f>IF(D35="",0,IF(COUNTIFS($A$2:A35,A35,$D$2:D35,D35)=1,1,0))</f>
        <v/>
      </c>
      <c r="I35" s="17" t="inlineStr">
        <is>
          <t>A confirmar</t>
        </is>
      </c>
      <c r="J35" s="17" t="inlineStr">
        <is>
          <t>a partir de 202? (confirmar)</t>
        </is>
      </c>
      <c r="K35" s="18" t="n"/>
      <c r="L35" s="17" t="inlineStr">
        <is>
          <t>Ano ilegível na foto</t>
        </is>
      </c>
      <c r="M35">
        <f>IF(AND(B35&lt;&gt;"",B35='Por empresa'!$B$2),COUNTIF($B$2:B35,'Por empresa'!$B$2),"")</f>
        <v/>
      </c>
    </row>
    <row r="36">
      <c r="A36" s="17" t="inlineStr">
        <is>
          <t>N-002</t>
        </is>
      </c>
      <c r="B36" s="17">
        <f>IF(A36="","",IFERROR(VLOOKUP(A36,Notificações!$A:$B,2,FALSE),"ID não encontrado"))</f>
        <v/>
      </c>
      <c r="C36" s="17" t="inlineStr">
        <is>
          <t>05</t>
        </is>
      </c>
      <c r="D36" s="17" t="inlineStr">
        <is>
          <t>AFAST</t>
        </is>
      </c>
      <c r="E36" s="17">
        <f>IF(D36="","",IFERROR(VLOOKUP(D36,Catálogo!$A:$D,2,FALSE),"Código não está no Catálogo"))</f>
        <v/>
      </c>
      <c r="F36" s="17">
        <f>IF(D36="","",IFERROR(VLOOKUP(D36,Catálogo!$A:$D,4,FALSE),""))</f>
        <v/>
      </c>
      <c r="G36" s="17" t="inlineStr">
        <is>
          <t>Planilha de afastados pelo INSS com CID e comprovantes</t>
        </is>
      </c>
      <c r="H36" s="17">
        <f>IF(D36="",0,IF(COUNTIFS($A$2:A36,A36,$D$2:D36,D36)=1,1,0))</f>
        <v/>
      </c>
      <c r="I36" s="17" t="inlineStr">
        <is>
          <t>A confirmar</t>
        </is>
      </c>
      <c r="J36" s="17" t="inlineStr"/>
      <c r="K36" s="18" t="n"/>
      <c r="L36" s="17" t="inlineStr"/>
      <c r="M36">
        <f>IF(AND(B36&lt;&gt;"",B36='Por empresa'!$B$2),COUNTIF($B$2:B36,'Por empresa'!$B$2),"")</f>
        <v/>
      </c>
    </row>
    <row r="37">
      <c r="A37" s="17" t="inlineStr">
        <is>
          <t>N-002</t>
        </is>
      </c>
      <c r="B37" s="17">
        <f>IF(A37="","",IFERROR(VLOOKUP(A37,Notificações!$A:$B,2,FALSE),"ID não encontrado"))</f>
        <v/>
      </c>
      <c r="C37" s="17" t="inlineStr">
        <is>
          <t>06</t>
        </is>
      </c>
      <c r="D37" s="17" t="inlineStr">
        <is>
          <t>PGR</t>
        </is>
      </c>
      <c r="E37" s="17">
        <f>IF(D37="","",IFERROR(VLOOKUP(D37,Catálogo!$A:$D,2,FALSE),"Código não está no Catálogo"))</f>
        <v/>
      </c>
      <c r="F37" s="17">
        <f>IF(D37="","",IFERROR(VLOOKUP(D37,Catálogo!$A:$D,4,FALSE),""))</f>
        <v/>
      </c>
      <c r="G37" s="17" t="inlineStr">
        <is>
          <t>PGR conforme NR-01 e demais NRs</t>
        </is>
      </c>
      <c r="H37" s="17">
        <f>IF(D37="",0,IF(COUNTIFS($A$2:A37,A37,$D$2:D37,D37)=1,1,0))</f>
        <v/>
      </c>
      <c r="I37" s="17" t="inlineStr">
        <is>
          <t>A confirmar</t>
        </is>
      </c>
      <c r="J37" s="17" t="inlineStr"/>
      <c r="K37" s="18" t="n"/>
      <c r="L37" s="17" t="inlineStr"/>
      <c r="M37">
        <f>IF(AND(B37&lt;&gt;"",B37='Por empresa'!$B$2),COUNTIF($B$2:B37,'Por empresa'!$B$2),"")</f>
        <v/>
      </c>
    </row>
    <row r="38">
      <c r="A38" s="17" t="inlineStr">
        <is>
          <t>N-002</t>
        </is>
      </c>
      <c r="B38" s="17">
        <f>IF(A38="","",IFERROR(VLOOKUP(A38,Notificações!$A:$B,2,FALSE),"ID não encontrado"))</f>
        <v/>
      </c>
      <c r="C38" s="17" t="inlineStr">
        <is>
          <t>07</t>
        </is>
      </c>
      <c r="D38" s="17" t="inlineStr">
        <is>
          <t>ACID</t>
        </is>
      </c>
      <c r="E38" s="17">
        <f>IF(D38="","",IFERROR(VLOOKUP(D38,Catálogo!$A:$D,2,FALSE),"Código não está no Catálogo"))</f>
        <v/>
      </c>
      <c r="F38" s="17">
        <f>IF(D38="","",IFERROR(VLOOKUP(D38,Catálogo!$A:$D,4,FALSE),""))</f>
        <v/>
      </c>
      <c r="G38" s="17" t="inlineStr">
        <is>
          <t>Procedimentos em caso de acidente/doença e análise de causas</t>
        </is>
      </c>
      <c r="H38" s="17">
        <f>IF(D38="",0,IF(COUNTIFS($A$2:A38,A38,$D$2:D38,D38)=1,1,0))</f>
        <v/>
      </c>
      <c r="I38" s="17" t="inlineStr">
        <is>
          <t>A confirmar</t>
        </is>
      </c>
      <c r="J38" s="17" t="inlineStr"/>
      <c r="K38" s="18" t="n"/>
      <c r="L38" s="17" t="inlineStr"/>
      <c r="M38">
        <f>IF(AND(B38&lt;&gt;"",B38='Por empresa'!$B$2),COUNTIF($B$2:B38,'Por empresa'!$B$2),"")</f>
        <v/>
      </c>
    </row>
    <row r="39">
      <c r="A39" s="17" t="inlineStr">
        <is>
          <t>N-002</t>
        </is>
      </c>
      <c r="B39" s="17">
        <f>IF(A39="","",IFERROR(VLOOKUP(A39,Notificações!$A:$B,2,FALSE),"ID não encontrado"))</f>
        <v/>
      </c>
      <c r="C39" s="17" t="inlineStr">
        <is>
          <t>08</t>
        </is>
      </c>
      <c r="D39" s="17" t="inlineStr">
        <is>
          <t>CIPA</t>
        </is>
      </c>
      <c r="E39" s="17">
        <f>IF(D39="","",IFERROR(VLOOKUP(D39,Catálogo!$A:$D,2,FALSE),"Código não está no Catálogo"))</f>
        <v/>
      </c>
      <c r="F39" s="17">
        <f>IF(D39="","",IFERROR(VLOOKUP(D39,Catálogo!$A:$D,4,FALSE),""))</f>
        <v/>
      </c>
      <c r="G39" s="17" t="inlineStr">
        <is>
          <t>Documentos da CIPA ou do designado</t>
        </is>
      </c>
      <c r="H39" s="17">
        <f>IF(D39="",0,IF(COUNTIFS($A$2:A39,A39,$D$2:D39,D39)=1,1,0))</f>
        <v/>
      </c>
      <c r="I39" s="17" t="inlineStr">
        <is>
          <t>A confirmar</t>
        </is>
      </c>
      <c r="J39" s="17" t="inlineStr">
        <is>
          <t>Gestão atual e anterior</t>
        </is>
      </c>
      <c r="K39" s="18" t="n"/>
      <c r="L39" s="17" t="inlineStr"/>
      <c r="M39">
        <f>IF(AND(B39&lt;&gt;"",B39='Por empresa'!$B$2),COUNTIF($B$2:B39,'Por empresa'!$B$2),"")</f>
        <v/>
      </c>
    </row>
    <row r="40">
      <c r="A40" s="17" t="inlineStr">
        <is>
          <t>N-002</t>
        </is>
      </c>
      <c r="B40" s="17">
        <f>IF(A40="","",IFERROR(VLOOKUP(A40,Notificações!$A:$B,2,FALSE),"ID não encontrado"))</f>
        <v/>
      </c>
      <c r="C40" s="17" t="inlineStr">
        <is>
          <t>10</t>
        </is>
      </c>
      <c r="D40" s="17" t="inlineStr">
        <is>
          <t>AEP</t>
        </is>
      </c>
      <c r="E40" s="17">
        <f>IF(D40="","",IFERROR(VLOOKUP(D40,Catálogo!$A:$D,2,FALSE),"Código não está no Catálogo"))</f>
        <v/>
      </c>
      <c r="F40" s="17">
        <f>IF(D40="","",IFERROR(VLOOKUP(D40,Catálogo!$A:$D,4,FALSE),""))</f>
        <v/>
      </c>
      <c r="G40" s="17" t="inlineStr">
        <is>
          <t>Análise ergonômica (AEP/AET)</t>
        </is>
      </c>
      <c r="H40" s="17">
        <f>IF(D40="",0,IF(COUNTIFS($A$2:A40,A40,$D$2:D40,D40)=1,1,0))</f>
        <v/>
      </c>
      <c r="I40" s="17" t="inlineStr">
        <is>
          <t>A confirmar</t>
        </is>
      </c>
      <c r="J40" s="17" t="inlineStr"/>
      <c r="K40" s="18" t="n"/>
      <c r="L40" s="17" t="inlineStr"/>
      <c r="M40">
        <f>IF(AND(B40&lt;&gt;"",B40='Por empresa'!$B$2),COUNTIF($B$2:B40,'Por empresa'!$B$2),"")</f>
        <v/>
      </c>
    </row>
    <row r="41">
      <c r="A41" s="17" t="inlineStr">
        <is>
          <t>N-002</t>
        </is>
      </c>
      <c r="B41" s="17">
        <f>IF(A41="","",IFERROR(VLOOKUP(A41,Notificações!$A:$B,2,FALSE),"ID não encontrado"))</f>
        <v/>
      </c>
      <c r="C41" s="17" t="inlineStr">
        <is>
          <t>12</t>
        </is>
      </c>
      <c r="D41" s="17" t="inlineStr">
        <is>
          <t>EPI</t>
        </is>
      </c>
      <c r="E41" s="17">
        <f>IF(D41="","",IFERROR(VLOOKUP(D41,Catálogo!$A:$D,2,FALSE),"Código não está no Catálogo"))</f>
        <v/>
      </c>
      <c r="F41" s="17">
        <f>IF(D41="","",IFERROR(VLOOKUP(D41,Catálogo!$A:$D,4,FALSE),""))</f>
        <v/>
      </c>
      <c r="G41" s="17" t="inlineStr">
        <is>
          <t>Comprovante de compra e fornecimento de EPI</t>
        </is>
      </c>
      <c r="H41" s="17">
        <f>IF(D41="",0,IF(COUNTIFS($A$2:A41,A41,$D$2:D41,D41)=1,1,0))</f>
        <v/>
      </c>
      <c r="I41" s="17" t="inlineStr">
        <is>
          <t>A confirmar</t>
        </is>
      </c>
      <c r="J41" s="17" t="inlineStr"/>
      <c r="K41" s="18" t="n"/>
      <c r="L41" s="17" t="inlineStr"/>
      <c r="M41">
        <f>IF(AND(B41&lt;&gt;"",B41='Por empresa'!$B$2),COUNTIF($B$2:B41,'Por empresa'!$B$2),"")</f>
        <v/>
      </c>
    </row>
    <row r="42">
      <c r="A42" s="17" t="inlineStr">
        <is>
          <t>N-002</t>
        </is>
      </c>
      <c r="B42" s="17">
        <f>IF(A42="","",IFERROR(VLOOKUP(A42,Notificações!$A:$B,2,FALSE),"ID não encontrado"))</f>
        <v/>
      </c>
      <c r="C42" s="17" t="inlineStr">
        <is>
          <t>13</t>
        </is>
      </c>
      <c r="D42" s="17" t="inlineStr">
        <is>
          <t>NR12-INV</t>
        </is>
      </c>
      <c r="E42" s="17">
        <f>IF(D42="","",IFERROR(VLOOKUP(D42,Catálogo!$A:$D,2,FALSE),"Código não está no Catálogo"))</f>
        <v/>
      </c>
      <c r="F42" s="17">
        <f>IF(D42="","",IFERROR(VLOOKUP(D42,Catálogo!$A:$D,4,FALSE),""))</f>
        <v/>
      </c>
      <c r="G42" s="17" t="inlineStr">
        <is>
          <t>Relatório de todas as máquinas com dispositivos de segurança</t>
        </is>
      </c>
      <c r="H42" s="17">
        <f>IF(D42="",0,IF(COUNTIFS($A$2:A42,A42,$D$2:D42,D42)=1,1,0))</f>
        <v/>
      </c>
      <c r="I42" s="17" t="inlineStr">
        <is>
          <t>A confirmar</t>
        </is>
      </c>
      <c r="J42" s="17" t="inlineStr"/>
      <c r="K42" s="18" t="n"/>
      <c r="L42" s="17" t="inlineStr"/>
      <c r="M42">
        <f>IF(AND(B42&lt;&gt;"",B42='Por empresa'!$B$2),COUNTIF($B$2:B42,'Por empresa'!$B$2),"")</f>
        <v/>
      </c>
    </row>
    <row r="43">
      <c r="A43" s="17" t="inlineStr">
        <is>
          <t>N-002</t>
        </is>
      </c>
      <c r="B43" s="17">
        <f>IF(A43="","",IFERROR(VLOOKUP(A43,Notificações!$A:$B,2,FALSE),"ID não encontrado"))</f>
        <v/>
      </c>
      <c r="C43" s="17" t="inlineStr">
        <is>
          <t>14</t>
        </is>
      </c>
      <c r="D43" s="17" t="inlineStr">
        <is>
          <t>LTCAT</t>
        </is>
      </c>
      <c r="E43" s="17">
        <f>IF(D43="","",IFERROR(VLOOKUP(D43,Catálogo!$A:$D,2,FALSE),"Código não está no Catálogo"))</f>
        <v/>
      </c>
      <c r="F43" s="17">
        <f>IF(D43="","",IFERROR(VLOOKUP(D43,Catálogo!$A:$D,4,FALSE),""))</f>
        <v/>
      </c>
      <c r="G43" s="17" t="inlineStr">
        <is>
          <t>Laudo técnico de insalubridade</t>
        </is>
      </c>
      <c r="H43" s="17">
        <f>IF(D43="",0,IF(COUNTIFS($A$2:A43,A43,$D$2:D43,D43)=1,1,0))</f>
        <v/>
      </c>
      <c r="I43" s="17" t="inlineStr">
        <is>
          <t>A confirmar</t>
        </is>
      </c>
      <c r="J43" s="17" t="inlineStr"/>
      <c r="K43" s="18" t="n"/>
      <c r="L43" s="17" t="inlineStr">
        <is>
          <t>Só insalubridade marcada</t>
        </is>
      </c>
      <c r="M43">
        <f>IF(AND(B43&lt;&gt;"",B43='Por empresa'!$B$2),COUNTIF($B$2:B43,'Por empresa'!$B$2),"")</f>
        <v/>
      </c>
    </row>
    <row r="44">
      <c r="A44" s="17" t="inlineStr">
        <is>
          <t>N-002</t>
        </is>
      </c>
      <c r="B44" s="17">
        <f>IF(A44="","",IFERROR(VLOOKUP(A44,Notificações!$A:$B,2,FALSE),"ID não encontrado"))</f>
        <v/>
      </c>
      <c r="C44" s="17" t="inlineStr">
        <is>
          <t>15</t>
        </is>
      </c>
      <c r="D44" s="17" t="inlineStr">
        <is>
          <t>TREIN</t>
        </is>
      </c>
      <c r="E44" s="17">
        <f>IF(D44="","",IFERROR(VLOOKUP(D44,Catálogo!$A:$D,2,FALSE),"Código não está no Catálogo"))</f>
        <v/>
      </c>
      <c r="F44" s="17">
        <f>IF(D44="","",IFERROR(VLOOKUP(D44,Catálogo!$A:$D,4,FALSE),""))</f>
        <v/>
      </c>
      <c r="G44" s="17" t="inlineStr">
        <is>
          <t>Comprovação de capacitação com designação do responsável por cada máquina</t>
        </is>
      </c>
      <c r="H44" s="17">
        <f>IF(D44="",0,IF(COUNTIFS($A$2:A44,A44,$D$2:D44,D44)=1,1,0))</f>
        <v/>
      </c>
      <c r="I44" s="17" t="inlineStr">
        <is>
          <t>A confirmar</t>
        </is>
      </c>
      <c r="J44" s="17" t="inlineStr"/>
      <c r="K44" s="18" t="n"/>
      <c r="L44" s="17" t="inlineStr"/>
      <c r="M44">
        <f>IF(AND(B44&lt;&gt;"",B44='Por empresa'!$B$2),COUNTIF($B$2:B44,'Por empresa'!$B$2),"")</f>
        <v/>
      </c>
    </row>
    <row r="45">
      <c r="A45" s="17" t="inlineStr">
        <is>
          <t>N-002</t>
        </is>
      </c>
      <c r="B45" s="17">
        <f>IF(A45="","",IFERROR(VLOOKUP(A45,Notificações!$A:$B,2,FALSE),"ID não encontrado"))</f>
        <v/>
      </c>
      <c r="C45" s="17" t="inlineStr">
        <is>
          <t>18</t>
        </is>
      </c>
      <c r="D45" s="17" t="inlineStr">
        <is>
          <t>NR12-ADEQ</t>
        </is>
      </c>
      <c r="E45" s="17">
        <f>IF(D45="","",IFERROR(VLOOKUP(D45,Catálogo!$A:$D,2,FALSE),"Código não está no Catálogo"))</f>
        <v/>
      </c>
      <c r="F45" s="17">
        <f>IF(D45="","",IFERROR(VLOOKUP(D45,Catálogo!$A:$D,4,FALSE),""))</f>
        <v/>
      </c>
      <c r="G45" s="17" t="inlineStr">
        <is>
          <t>Instalar sistemas de segurança em zonas de perigo de máquinas</t>
        </is>
      </c>
      <c r="H45" s="17">
        <f>IF(D45="",0,IF(COUNTIFS($A$2:A45,A45,$D$2:D45,D45)=1,1,0))</f>
        <v/>
      </c>
      <c r="I45" s="17" t="inlineStr">
        <is>
          <t>A confirmar</t>
        </is>
      </c>
      <c r="J45" s="17" t="inlineStr"/>
      <c r="K45" s="18" t="n"/>
      <c r="L45" s="17" t="inlineStr">
        <is>
          <t>Anotação manuscrita ilegível (parece citar esteira/elevador/cilindro)</t>
        </is>
      </c>
      <c r="M45">
        <f>IF(AND(B45&lt;&gt;"",B45='Por empresa'!$B$2),COUNTIF($B$2:B45,'Por empresa'!$B$2),"")</f>
        <v/>
      </c>
    </row>
    <row r="46">
      <c r="A46" s="17" t="inlineStr">
        <is>
          <t>N-002</t>
        </is>
      </c>
      <c r="B46" s="17">
        <f>IF(A46="","",IFERROR(VLOOKUP(A46,Notificações!$A:$B,2,FALSE),"ID não encontrado"))</f>
        <v/>
      </c>
      <c r="C46" s="17" t="inlineStr">
        <is>
          <t>19</t>
        </is>
      </c>
      <c r="D46" s="17" t="inlineStr">
        <is>
          <t>ALTURA</t>
        </is>
      </c>
      <c r="E46" s="17">
        <f>IF(D46="","",IFERROR(VLOOKUP(D46,Catálogo!$A:$D,2,FALSE),"Código não está no Catálogo"))</f>
        <v/>
      </c>
      <c r="F46" s="17">
        <f>IF(D46="","",IFERROR(VLOOKUP(D46,Catálogo!$A:$D,4,FALSE),""))</f>
        <v/>
      </c>
      <c r="G46" s="17" t="inlineStr">
        <is>
          <t>Análise de riscos para trabalho em altura</t>
        </is>
      </c>
      <c r="H46" s="17">
        <f>IF(D46="",0,IF(COUNTIFS($A$2:A46,A46,$D$2:D46,D46)=1,1,0))</f>
        <v/>
      </c>
      <c r="I46" s="17" t="inlineStr">
        <is>
          <t>A confirmar</t>
        </is>
      </c>
      <c r="J46" s="17" t="inlineStr"/>
      <c r="K46" s="18" t="n"/>
      <c r="L46" s="17" t="inlineStr"/>
      <c r="M46">
        <f>IF(AND(B46&lt;&gt;"",B46='Por empresa'!$B$2),COUNTIF($B$2:B46,'Por empresa'!$B$2),"")</f>
        <v/>
      </c>
    </row>
    <row r="47">
      <c r="A47" s="17" t="inlineStr">
        <is>
          <t>N-002</t>
        </is>
      </c>
      <c r="B47" s="17">
        <f>IF(A47="","",IFERROR(VLOOKUP(A47,Notificações!$A:$B,2,FALSE),"ID não encontrado"))</f>
        <v/>
      </c>
      <c r="C47" s="17" t="inlineStr">
        <is>
          <t>20</t>
        </is>
      </c>
      <c r="D47" s="17" t="inlineStr">
        <is>
          <t>CAT</t>
        </is>
      </c>
      <c r="E47" s="17">
        <f>IF(D47="","",IFERROR(VLOOKUP(D47,Catálogo!$A:$D,2,FALSE),"Código não está no Catálogo"))</f>
        <v/>
      </c>
      <c r="F47" s="17">
        <f>IF(D47="","",IFERROR(VLOOKUP(D47,Catálogo!$A:$D,4,FALSE),""))</f>
        <v/>
      </c>
      <c r="G47" s="17" t="inlineStr">
        <is>
          <t>CATs dos últimos 5 anos e relatório de investigação</t>
        </is>
      </c>
      <c r="H47" s="17">
        <f>IF(D47="",0,IF(COUNTIFS($A$2:A47,A47,$D$2:D47,D47)=1,1,0))</f>
        <v/>
      </c>
      <c r="I47" s="17" t="inlineStr">
        <is>
          <t>A confirmar</t>
        </is>
      </c>
      <c r="J47" s="17" t="inlineStr">
        <is>
          <t>Últimos 5 anos</t>
        </is>
      </c>
      <c r="K47" s="18" t="n"/>
      <c r="L47" s="17" t="inlineStr"/>
      <c r="M47">
        <f>IF(AND(B47&lt;&gt;"",B47='Por empresa'!$B$2),COUNTIF($B$2:B47,'Por empresa'!$B$2),"")</f>
        <v/>
      </c>
    </row>
    <row r="48">
      <c r="A48" s="17" t="inlineStr">
        <is>
          <t>N-002</t>
        </is>
      </c>
      <c r="B48" s="17">
        <f>IF(A48="","",IFERROR(VLOOKUP(A48,Notificações!$A:$B,2,FALSE),"ID não encontrado"))</f>
        <v/>
      </c>
      <c r="C48" s="17" t="inlineStr">
        <is>
          <t>21</t>
        </is>
      </c>
      <c r="D48" s="17" t="inlineStr">
        <is>
          <t>CCT</t>
        </is>
      </c>
      <c r="E48" s="17">
        <f>IF(D48="","",IFERROR(VLOOKUP(D48,Catálogo!$A:$D,2,FALSE),"Código não está no Catálogo"))</f>
        <v/>
      </c>
      <c r="F48" s="17">
        <f>IF(D48="","",IFERROR(VLOOKUP(D48,Catálogo!$A:$D,4,FALSE),""))</f>
        <v/>
      </c>
      <c r="G48" s="17" t="inlineStr">
        <is>
          <t>Acordo/convenção/dissídio coletivo</t>
        </is>
      </c>
      <c r="H48" s="17">
        <f>IF(D48="",0,IF(COUNTIFS($A$2:A48,A48,$D$2:D48,D48)=1,1,0))</f>
        <v/>
      </c>
      <c r="I48" s="17" t="inlineStr">
        <is>
          <t>A confirmar</t>
        </is>
      </c>
      <c r="J48" s="17" t="inlineStr">
        <is>
          <t>Período fiscalizado</t>
        </is>
      </c>
      <c r="K48" s="18" t="n"/>
      <c r="L48" s="17" t="inlineStr"/>
      <c r="M48">
        <f>IF(AND(B48&lt;&gt;"",B48='Por empresa'!$B$2),COUNTIF($B$2:B48,'Por empresa'!$B$2),"")</f>
        <v/>
      </c>
    </row>
    <row r="49">
      <c r="A49" s="17" t="inlineStr">
        <is>
          <t>N-002</t>
        </is>
      </c>
      <c r="B49" s="17">
        <f>IF(A49="","",IFERROR(VLOOKUP(A49,Notificações!$A:$B,2,FALSE),"ID não encontrado"))</f>
        <v/>
      </c>
      <c r="C49" s="17" t="inlineStr">
        <is>
          <t>22</t>
        </is>
      </c>
      <c r="D49" s="17" t="inlineStr">
        <is>
          <t>PONTO-REP</t>
        </is>
      </c>
      <c r="E49" s="17">
        <f>IF(D49="","",IFERROR(VLOOKUP(D49,Catálogo!$A:$D,2,FALSE),"Código não está no Catálogo"))</f>
        <v/>
      </c>
      <c r="F49" s="17">
        <f>IF(D49="","",IFERROR(VLOOKUP(D49,Catálogo!$A:$D,4,FALSE),""))</f>
        <v/>
      </c>
      <c r="G49" s="17" t="inlineStr">
        <is>
          <t>Atestado técnico e termo de responsabilidade do REP</t>
        </is>
      </c>
      <c r="H49" s="17">
        <f>IF(D49="",0,IF(COUNTIFS($A$2:A49,A49,$D$2:D49,D49)=1,1,0))</f>
        <v/>
      </c>
      <c r="I49" s="17" t="inlineStr">
        <is>
          <t>A confirmar</t>
        </is>
      </c>
      <c r="J49" s="17" t="inlineStr"/>
      <c r="K49" s="18" t="n"/>
      <c r="L49" s="17" t="inlineStr"/>
      <c r="M49">
        <f>IF(AND(B49&lt;&gt;"",B49='Por empresa'!$B$2),COUNTIF($B$2:B49,'Por empresa'!$B$2),"")</f>
        <v/>
      </c>
    </row>
    <row r="50">
      <c r="A50" s="17" t="inlineStr">
        <is>
          <t>N-002</t>
        </is>
      </c>
      <c r="B50" s="17">
        <f>IF(A50="","",IFERROR(VLOOKUP(A50,Notificações!$A:$B,2,FALSE),"ID não encontrado"))</f>
        <v/>
      </c>
      <c r="C50" s="17" t="inlineStr">
        <is>
          <t>25</t>
        </is>
      </c>
      <c r="D50" s="17" t="inlineStr">
        <is>
          <t>PONTO-AFD</t>
        </is>
      </c>
      <c r="E50" s="17">
        <f>IF(D50="","",IFERROR(VLOOKUP(D50,Catálogo!$A:$D,2,FALSE),"Código não está no Catálogo"))</f>
        <v/>
      </c>
      <c r="F50" s="17">
        <f>IF(D50="","",IFERROR(VLOOKUP(D50,Catálogo!$A:$D,4,FALSE),""))</f>
        <v/>
      </c>
      <c r="G50" s="17" t="inlineStr">
        <is>
          <t>Arquivos AFD e AEJ (.txt)</t>
        </is>
      </c>
      <c r="H50" s="17">
        <f>IF(D50="",0,IF(COUNTIFS($A$2:A50,A50,$D$2:D50,D50)=1,1,0))</f>
        <v/>
      </c>
      <c r="I50" s="17" t="inlineStr">
        <is>
          <t>A confirmar</t>
        </is>
      </c>
      <c r="J50" s="17" t="inlineStr">
        <is>
          <t>08/2025 a 02/2026 (confirmar)</t>
        </is>
      </c>
      <c r="K50" s="18" t="n"/>
      <c r="L50" s="17" t="inlineStr"/>
      <c r="M50">
        <f>IF(AND(B50&lt;&gt;"",B50='Por empresa'!$B$2),COUNTIF($B$2:B50,'Por empresa'!$B$2),"")</f>
        <v/>
      </c>
    </row>
    <row r="51">
      <c r="A51" s="17" t="inlineStr">
        <is>
          <t>N-002</t>
        </is>
      </c>
      <c r="B51" s="17">
        <f>IF(A51="","",IFERROR(VLOOKUP(A51,Notificações!$A:$B,2,FALSE),"ID não encontrado"))</f>
        <v/>
      </c>
      <c r="C51" s="17" t="inlineStr">
        <is>
          <t>26a</t>
        </is>
      </c>
      <c r="D51" s="17" t="inlineStr">
        <is>
          <t>COMPROV-SAL</t>
        </is>
      </c>
      <c r="E51" s="17">
        <f>IF(D51="","",IFERROR(VLOOKUP(D51,Catálogo!$A:$D,2,FALSE),"Código não está no Catálogo"))</f>
        <v/>
      </c>
      <c r="F51" s="17">
        <f>IF(D51="","",IFERROR(VLOOKUP(D51,Catálogo!$A:$D,4,FALSE),""))</f>
        <v/>
      </c>
      <c r="G51" s="17" t="inlineStr">
        <is>
          <t>Comprovantes de pagamento de salário por transferência</t>
        </is>
      </c>
      <c r="H51" s="17">
        <f>IF(D51="",0,IF(COUNTIFS($A$2:A51,A51,$D$2:D51,D51)=1,1,0))</f>
        <v/>
      </c>
      <c r="I51" s="17" t="inlineStr">
        <is>
          <t>A confirmar</t>
        </is>
      </c>
      <c r="J51" s="17" t="inlineStr">
        <is>
          <t>Últimos 3 meses</t>
        </is>
      </c>
      <c r="K51" s="18" t="n"/>
      <c r="L51" s="17" t="inlineStr"/>
      <c r="M51">
        <f>IF(AND(B51&lt;&gt;"",B51='Por empresa'!$B$2),COUNTIF($B$2:B51,'Por empresa'!$B$2),"")</f>
        <v/>
      </c>
    </row>
    <row r="52">
      <c r="A52" s="17" t="inlineStr">
        <is>
          <t>N-002</t>
        </is>
      </c>
      <c r="B52" s="17">
        <f>IF(A52="","",IFERROR(VLOOKUP(A52,Notificações!$A:$B,2,FALSE),"ID não encontrado"))</f>
        <v/>
      </c>
      <c r="C52" s="17" t="inlineStr">
        <is>
          <t>26b</t>
        </is>
      </c>
      <c r="D52" s="17" t="inlineStr">
        <is>
          <t>FOLHA</t>
        </is>
      </c>
      <c r="E52" s="17">
        <f>IF(D52="","",IFERROR(VLOOKUP(D52,Catálogo!$A:$D,2,FALSE),"Código não está no Catálogo"))</f>
        <v/>
      </c>
      <c r="F52" s="17">
        <f>IF(D52="","",IFERROR(VLOOKUP(D52,Catálogo!$A:$D,4,FALSE),""))</f>
        <v/>
      </c>
      <c r="G52" s="17" t="inlineStr">
        <is>
          <t>Folha analítica</t>
        </is>
      </c>
      <c r="H52" s="17">
        <f>IF(D52="",0,IF(COUNTIFS($A$2:A52,A52,$D$2:D52,D52)=1,1,0))</f>
        <v/>
      </c>
      <c r="I52" s="17" t="inlineStr">
        <is>
          <t>A confirmar</t>
        </is>
      </c>
      <c r="J52" s="17" t="inlineStr">
        <is>
          <t>Últimos 6 meses</t>
        </is>
      </c>
      <c r="K52" s="18" t="n"/>
      <c r="L52" s="17" t="inlineStr"/>
      <c r="M52">
        <f>IF(AND(B52&lt;&gt;"",B52='Por empresa'!$B$2),COUNTIF($B$2:B52,'Por empresa'!$B$2),"")</f>
        <v/>
      </c>
    </row>
    <row r="53">
      <c r="A53" s="17" t="inlineStr">
        <is>
          <t>N-002</t>
        </is>
      </c>
      <c r="B53" s="17">
        <f>IF(A53="","",IFERROR(VLOOKUP(A53,Notificações!$A:$B,2,FALSE),"ID não encontrado"))</f>
        <v/>
      </c>
      <c r="C53" s="17" t="inlineStr">
        <is>
          <t>27</t>
        </is>
      </c>
      <c r="D53" s="17" t="inlineStr">
        <is>
          <t>AVCB</t>
        </is>
      </c>
      <c r="E53" s="17">
        <f>IF(D53="","",IFERROR(VLOOKUP(D53,Catálogo!$A:$D,2,FALSE),"Código não está no Catálogo"))</f>
        <v/>
      </c>
      <c r="F53" s="17">
        <f>IF(D53="","",IFERROR(VLOOKUP(D53,Catálogo!$A:$D,4,FALSE),""))</f>
        <v/>
      </c>
      <c r="G53" s="17" t="inlineStr">
        <is>
          <t>(manuscrito) AVCB</t>
        </is>
      </c>
      <c r="H53" s="17">
        <f>IF(D53="",0,IF(COUNTIFS($A$2:A53,A53,$D$2:D53,D53)=1,1,0))</f>
        <v/>
      </c>
      <c r="I53" s="17" t="inlineStr">
        <is>
          <t>A confirmar</t>
        </is>
      </c>
      <c r="J53" s="17" t="inlineStr"/>
      <c r="K53" s="18" t="n"/>
      <c r="L53" s="17" t="inlineStr"/>
      <c r="M53">
        <f>IF(AND(B53&lt;&gt;"",B53='Por empresa'!$B$2),COUNTIF($B$2:B53,'Por empresa'!$B$2),"")</f>
        <v/>
      </c>
    </row>
    <row r="54">
      <c r="A54" s="17" t="inlineStr">
        <is>
          <t>N-002</t>
        </is>
      </c>
      <c r="B54" s="17">
        <f>IF(A54="","",IFERROR(VLOOKUP(A54,Notificações!$A:$B,2,FALSE),"ID não encontrado"))</f>
        <v/>
      </c>
      <c r="C54" s="17" t="inlineStr">
        <is>
          <t>28</t>
        </is>
      </c>
      <c r="D54" s="17" t="inlineStr">
        <is>
          <t>COMPARECER</t>
        </is>
      </c>
      <c r="E54" s="17">
        <f>IF(D54="","",IFERROR(VLOOKUP(D54,Catálogo!$A:$D,2,FALSE),"Código não está no Catálogo"))</f>
        <v/>
      </c>
      <c r="F54" s="17">
        <f>IF(D54="","",IFERROR(VLOOKUP(D54,Catálogo!$A:$D,4,FALSE),""))</f>
        <v/>
      </c>
      <c r="G54" s="17" t="inlineStr">
        <is>
          <t>(manuscrito) Comparecer na SRTE/BA (Av. Jequitaia, 6º andar) para receber Termo</t>
        </is>
      </c>
      <c r="H54" s="17">
        <f>IF(D54="",0,IF(COUNTIFS($A$2:A54,A54,$D$2:D54,D54)=1,1,0))</f>
        <v/>
      </c>
      <c r="I54" s="17" t="inlineStr">
        <is>
          <t>A confirmar</t>
        </is>
      </c>
      <c r="J54" s="17" t="inlineStr">
        <is>
          <t>24/03/2026 às 14h30</t>
        </is>
      </c>
      <c r="K54" s="18" t="n"/>
      <c r="L54" s="17" t="inlineStr"/>
      <c r="M54">
        <f>IF(AND(B54&lt;&gt;"",B54='Por empresa'!$B$2),COUNTIF($B$2:B54,'Por empresa'!$B$2),"")</f>
        <v/>
      </c>
    </row>
    <row r="55">
      <c r="A55" s="17" t="inlineStr">
        <is>
          <t>N-003</t>
        </is>
      </c>
      <c r="B55" s="17">
        <f>IF(A55="","",IFERROR(VLOOKUP(A55,Notificações!$A:$B,2,FALSE),"ID não encontrado"))</f>
        <v/>
      </c>
      <c r="C55" s="17" t="inlineStr">
        <is>
          <t>a</t>
        </is>
      </c>
      <c r="D55" s="17" t="inlineStr">
        <is>
          <t>PGR</t>
        </is>
      </c>
      <c r="E55" s="17">
        <f>IF(D55="","",IFERROR(VLOOKUP(D55,Catálogo!$A:$D,2,FALSE),"Código não está no Catálogo"))</f>
        <v/>
      </c>
      <c r="F55" s="17">
        <f>IF(D55="","",IFERROR(VLOOKUP(D55,Catálogo!$A:$D,4,FALSE),""))</f>
        <v/>
      </c>
      <c r="G55" s="17" t="inlineStr">
        <is>
          <t>PGR</t>
        </is>
      </c>
      <c r="H55" s="17">
        <f>IF(D55="",0,IF(COUNTIFS($A$2:A55,A55,$D$2:D55,D55)=1,1,0))</f>
        <v/>
      </c>
      <c r="I55" s="17" t="inlineStr">
        <is>
          <t>Entregue</t>
        </is>
      </c>
      <c r="J55" s="17" t="inlineStr"/>
      <c r="K55" s="18" t="n"/>
      <c r="L55" s="17" t="inlineStr">
        <is>
          <t>Entregue PGR da MATRIZ – não cobre a filial</t>
        </is>
      </c>
      <c r="M55">
        <f>IF(AND(B55&lt;&gt;"",B55='Por empresa'!$B$2),COUNTIF($B$2:B55,'Por empresa'!$B$2),"")</f>
        <v/>
      </c>
    </row>
    <row r="56">
      <c r="A56" s="17" t="inlineStr">
        <is>
          <t>N-003</t>
        </is>
      </c>
      <c r="B56" s="17">
        <f>IF(A56="","",IFERROR(VLOOKUP(A56,Notificações!$A:$B,2,FALSE),"ID não encontrado"))</f>
        <v/>
      </c>
      <c r="C56" s="17" t="inlineStr">
        <is>
          <t>b</t>
        </is>
      </c>
      <c r="D56" s="17" t="inlineStr">
        <is>
          <t>PCMSO</t>
        </is>
      </c>
      <c r="E56" s="17">
        <f>IF(D56="","",IFERROR(VLOOKUP(D56,Catálogo!$A:$D,2,FALSE),"Código não está no Catálogo"))</f>
        <v/>
      </c>
      <c r="F56" s="17">
        <f>IF(D56="","",IFERROR(VLOOKUP(D56,Catálogo!$A:$D,4,FALSE),""))</f>
        <v/>
      </c>
      <c r="G56" s="17" t="inlineStr">
        <is>
          <t>PCMSO</t>
        </is>
      </c>
      <c r="H56" s="17">
        <f>IF(D56="",0,IF(COUNTIFS($A$2:A56,A56,$D$2:D56,D56)=1,1,0))</f>
        <v/>
      </c>
      <c r="I56" s="17" t="inlineStr">
        <is>
          <t>Entregue</t>
        </is>
      </c>
      <c r="J56" s="17" t="inlineStr"/>
      <c r="K56" s="18" t="n"/>
      <c r="L56" s="17" t="inlineStr">
        <is>
          <t>PCMSO da filial cita calor dos fornos, sem correspondência no PGR</t>
        </is>
      </c>
      <c r="M56">
        <f>IF(AND(B56&lt;&gt;"",B56='Por empresa'!$B$2),COUNTIF($B$2:B56,'Por empresa'!$B$2),"")</f>
        <v/>
      </c>
    </row>
    <row r="57">
      <c r="A57" s="17" t="inlineStr">
        <is>
          <t>N-003</t>
        </is>
      </c>
      <c r="B57" s="17">
        <f>IF(A57="","",IFERROR(VLOOKUP(A57,Notificações!$A:$B,2,FALSE),"ID não encontrado"))</f>
        <v/>
      </c>
      <c r="C57" s="17" t="inlineStr">
        <is>
          <t>c</t>
        </is>
      </c>
      <c r="D57" s="17" t="inlineStr">
        <is>
          <t>REL-EMP</t>
        </is>
      </c>
      <c r="E57" s="17">
        <f>IF(D57="","",IFERROR(VLOOKUP(D57,Catálogo!$A:$D,2,FALSE),"Código não está no Catálogo"))</f>
        <v/>
      </c>
      <c r="F57" s="17">
        <f>IF(D57="","",IFERROR(VLOOKUP(D57,Catálogo!$A:$D,4,FALSE),""))</f>
        <v/>
      </c>
      <c r="G57" s="17" t="inlineStr">
        <is>
          <t>Relação de empregados</t>
        </is>
      </c>
      <c r="H57" s="17">
        <f>IF(D57="",0,IF(COUNTIFS($A$2:A57,A57,$D$2:D57,D57)=1,1,0))</f>
        <v/>
      </c>
      <c r="I57" s="17" t="inlineStr">
        <is>
          <t>Entregue</t>
        </is>
      </c>
      <c r="J57" s="17" t="inlineStr"/>
      <c r="K57" s="18" t="n"/>
      <c r="L57" s="17" t="inlineStr">
        <is>
          <t>23 empregados na filial</t>
        </is>
      </c>
      <c r="M57">
        <f>IF(AND(B57&lt;&gt;"",B57='Por empresa'!$B$2),COUNTIF($B$2:B57,'Por empresa'!$B$2),"")</f>
        <v/>
      </c>
    </row>
    <row r="58">
      <c r="A58" s="17" t="inlineStr">
        <is>
          <t>N-003</t>
        </is>
      </c>
      <c r="B58" s="17">
        <f>IF(A58="","",IFERROR(VLOOKUP(A58,Notificações!$A:$B,2,FALSE),"ID não encontrado"))</f>
        <v/>
      </c>
      <c r="C58" s="17" t="inlineStr">
        <is>
          <t>d</t>
        </is>
      </c>
      <c r="D58" s="17" t="inlineStr">
        <is>
          <t>EPI</t>
        </is>
      </c>
      <c r="E58" s="17">
        <f>IF(D58="","",IFERROR(VLOOKUP(D58,Catálogo!$A:$D,2,FALSE),"Código não está no Catálogo"))</f>
        <v/>
      </c>
      <c r="F58" s="17">
        <f>IF(D58="","",IFERROR(VLOOKUP(D58,Catálogo!$A:$D,4,FALSE),""))</f>
        <v/>
      </c>
      <c r="G58" s="17" t="inlineStr">
        <is>
          <t>Recibos de entrega de EPI</t>
        </is>
      </c>
      <c r="H58" s="17">
        <f>IF(D58="",0,IF(COUNTIFS($A$2:A58,A58,$D$2:D58,D58)=1,1,0))</f>
        <v/>
      </c>
      <c r="I58" s="17" t="inlineStr">
        <is>
          <t>Entregue</t>
        </is>
      </c>
      <c r="J58" s="17" t="inlineStr"/>
      <c r="K58" s="18" t="n"/>
      <c r="L58" s="17" t="inlineStr"/>
      <c r="M58">
        <f>IF(AND(B58&lt;&gt;"",B58='Por empresa'!$B$2),COUNTIF($B$2:B58,'Por empresa'!$B$2),"")</f>
        <v/>
      </c>
    </row>
    <row r="59">
      <c r="A59" s="17" t="inlineStr">
        <is>
          <t>N-004</t>
        </is>
      </c>
      <c r="B59" s="17">
        <f>IF(A59="","",IFERROR(VLOOKUP(A59,Notificações!$A:$B,2,FALSE),"ID não encontrado"))</f>
        <v/>
      </c>
      <c r="C59" s="17" t="inlineStr">
        <is>
          <t>a</t>
        </is>
      </c>
      <c r="D59" s="17" t="inlineStr">
        <is>
          <t>VENT</t>
        </is>
      </c>
      <c r="E59" s="17">
        <f>IF(D59="","",IFERROR(VLOOKUP(D59,Catálogo!$A:$D,2,FALSE),"Código não está no Catálogo"))</f>
        <v/>
      </c>
      <c r="F59" s="17">
        <f>IF(D59="","",IFERROR(VLOOKUP(D59,Catálogo!$A:$D,4,FALSE),""))</f>
        <v/>
      </c>
      <c r="G59" s="17" t="inlineStr">
        <is>
          <t>Projeto de ventilação/exaustão da cozinha e dos fornos, com ART e cronograma (NBR 14518)</t>
        </is>
      </c>
      <c r="H59" s="17">
        <f>IF(D59="",0,IF(COUNTIFS($A$2:A59,A59,$D$2:D59,D59)=1,1,0))</f>
        <v/>
      </c>
      <c r="I59" s="17" t="inlineStr">
        <is>
          <t>Pendente</t>
        </is>
      </c>
      <c r="J59" s="17" t="inlineStr"/>
      <c r="K59" s="18" t="n"/>
      <c r="L59" s="17" t="inlineStr"/>
      <c r="M59">
        <f>IF(AND(B59&lt;&gt;"",B59='Por empresa'!$B$2),COUNTIF($B$2:B59,'Por empresa'!$B$2),"")</f>
        <v/>
      </c>
    </row>
    <row r="60">
      <c r="A60" s="17" t="inlineStr">
        <is>
          <t>N-004</t>
        </is>
      </c>
      <c r="B60" s="17">
        <f>IF(A60="","",IFERROR(VLOOKUP(A60,Notificações!$A:$B,2,FALSE),"ID não encontrado"))</f>
        <v/>
      </c>
      <c r="C60" s="17" t="inlineStr">
        <is>
          <t>b</t>
        </is>
      </c>
      <c r="D60" s="17" t="inlineStr">
        <is>
          <t>NR24</t>
        </is>
      </c>
      <c r="E60" s="17">
        <f>IF(D60="","",IFERROR(VLOOKUP(D60,Catálogo!$A:$D,2,FALSE),"Código não está no Catálogo"))</f>
        <v/>
      </c>
      <c r="F60" s="17">
        <f>IF(D60="","",IFERROR(VLOOKUP(D60,Catálogo!$A:$D,4,FALSE),""))</f>
        <v/>
      </c>
      <c r="G60" s="17" t="inlineStr">
        <is>
          <t>Relatório fotográfico do local de descanso coberto e com assentos (ou projeto e cronograma)</t>
        </is>
      </c>
      <c r="H60" s="17">
        <f>IF(D60="",0,IF(COUNTIFS($A$2:A60,A60,$D$2:D60,D60)=1,1,0))</f>
        <v/>
      </c>
      <c r="I60" s="17" t="inlineStr">
        <is>
          <t>Pendente</t>
        </is>
      </c>
      <c r="J60" s="17" t="inlineStr"/>
      <c r="K60" s="18" t="n"/>
      <c r="L60" s="17" t="inlineStr"/>
      <c r="M60">
        <f>IF(AND(B60&lt;&gt;"",B60='Por empresa'!$B$2),COUNTIF($B$2:B60,'Por empresa'!$B$2),"")</f>
        <v/>
      </c>
    </row>
    <row r="61">
      <c r="A61" s="17" t="inlineStr">
        <is>
          <t>N-004</t>
        </is>
      </c>
      <c r="B61" s="17">
        <f>IF(A61="","",IFERROR(VLOOKUP(A61,Notificações!$A:$B,2,FALSE),"ID não encontrado"))</f>
        <v/>
      </c>
      <c r="C61" s="17" t="inlineStr">
        <is>
          <t>c</t>
        </is>
      </c>
      <c r="D61" s="17" t="inlineStr">
        <is>
          <t>PGR</t>
        </is>
      </c>
      <c r="E61" s="17">
        <f>IF(D61="","",IFERROR(VLOOKUP(D61,Catálogo!$A:$D,2,FALSE),"Código não está no Catálogo"))</f>
        <v/>
      </c>
      <c r="F61" s="17">
        <f>IF(D61="","",IFERROR(VLOOKUP(D61,Catálogo!$A:$D,4,FALSE),""))</f>
        <v/>
      </c>
      <c r="G61" s="17" t="inlineStr">
        <is>
          <t>PGR da filial com todos os setores (cozinha, padaria, rotisseria, açougue), calor e fumos de cocção</t>
        </is>
      </c>
      <c r="H61" s="17">
        <f>IF(D61="",0,IF(COUNTIFS($A$2:A61,A61,$D$2:D61,D61)=1,1,0))</f>
        <v/>
      </c>
      <c r="I61" s="17" t="inlineStr">
        <is>
          <t>Pendente</t>
        </is>
      </c>
      <c r="J61" s="17" t="inlineStr"/>
      <c r="K61" s="18" t="n"/>
      <c r="L61" s="17" t="inlineStr">
        <is>
          <t>Responsabilidade direta da assessoria SST</t>
        </is>
      </c>
      <c r="M61">
        <f>IF(AND(B61&lt;&gt;"",B61='Por empresa'!$B$2),COUNTIF($B$2:B61,'Por empresa'!$B$2),"")</f>
        <v/>
      </c>
    </row>
    <row r="62">
      <c r="A62" s="17" t="inlineStr">
        <is>
          <t>N-005</t>
        </is>
      </c>
      <c r="B62" s="17">
        <f>IF(A62="","",IFERROR(VLOOKUP(A62,Notificações!$A:$B,2,FALSE),"ID não encontrado"))</f>
        <v/>
      </c>
      <c r="C62" s="17" t="inlineStr">
        <is>
          <t>1</t>
        </is>
      </c>
      <c r="D62" s="17" t="inlineStr">
        <is>
          <t>PGR</t>
        </is>
      </c>
      <c r="E62" s="17">
        <f>IF(D62="","",IFERROR(VLOOKUP(D62,Catálogo!$A:$D,2,FALSE),"Código não está no Catálogo"))</f>
        <v/>
      </c>
      <c r="F62" s="17">
        <f>IF(D62="","",IFERROR(VLOOKUP(D62,Catálogo!$A:$D,4,FALSE),""))</f>
        <v/>
      </c>
      <c r="G62" s="17" t="inlineStr">
        <is>
          <t>PGR atualizado</t>
        </is>
      </c>
      <c r="H62" s="17">
        <f>IF(D62="",0,IF(COUNTIFS($A$2:A62,A62,$D$2:D62,D62)=1,1,0))</f>
        <v/>
      </c>
      <c r="I62" s="17" t="inlineStr">
        <is>
          <t>Pendente</t>
        </is>
      </c>
      <c r="J62" s="17" t="inlineStr">
        <is>
          <t>01/01/2026 a 01/10/2026</t>
        </is>
      </c>
      <c r="K62" s="18" t="n"/>
      <c r="L62" s="17" t="inlineStr"/>
      <c r="M62">
        <f>IF(AND(B62&lt;&gt;"",B62='Por empresa'!$B$2),COUNTIF($B$2:B62,'Por empresa'!$B$2),"")</f>
        <v/>
      </c>
    </row>
    <row r="63">
      <c r="A63" s="17" t="inlineStr">
        <is>
          <t>N-005</t>
        </is>
      </c>
      <c r="B63" s="17">
        <f>IF(A63="","",IFERROR(VLOOKUP(A63,Notificações!$A:$B,2,FALSE),"ID não encontrado"))</f>
        <v/>
      </c>
      <c r="C63" s="17" t="inlineStr">
        <is>
          <t>2</t>
        </is>
      </c>
      <c r="D63" s="17" t="inlineStr">
        <is>
          <t>CIPA</t>
        </is>
      </c>
      <c r="E63" s="17">
        <f>IF(D63="","",IFERROR(VLOOKUP(D63,Catálogo!$A:$D,2,FALSE),"Código não está no Catálogo"))</f>
        <v/>
      </c>
      <c r="F63" s="17">
        <f>IF(D63="","",IFERROR(VLOOKUP(D63,Catálogo!$A:$D,4,FALSE),""))</f>
        <v/>
      </c>
      <c r="G63" s="17" t="inlineStr">
        <is>
          <t>Documentação da CIPA (se constituída)</t>
        </is>
      </c>
      <c r="H63" s="17">
        <f>IF(D63="",0,IF(COUNTIFS($A$2:A63,A63,$D$2:D63,D63)=1,1,0))</f>
        <v/>
      </c>
      <c r="I63" s="17" t="inlineStr">
        <is>
          <t>Pendente</t>
        </is>
      </c>
      <c r="J63" s="17" t="inlineStr">
        <is>
          <t>01/01/2026 a 01/10/2026</t>
        </is>
      </c>
      <c r="K63" s="18" t="n"/>
      <c r="L63" s="17" t="inlineStr"/>
      <c r="M63">
        <f>IF(AND(B63&lt;&gt;"",B63='Por empresa'!$B$2),COUNTIF($B$2:B63,'Por empresa'!$B$2),"")</f>
        <v/>
      </c>
    </row>
    <row r="64">
      <c r="A64" s="17" t="inlineStr">
        <is>
          <t>N-005</t>
        </is>
      </c>
      <c r="B64" s="17">
        <f>IF(A64="","",IFERROR(VLOOKUP(A64,Notificações!$A:$B,2,FALSE),"ID não encontrado"))</f>
        <v/>
      </c>
      <c r="C64" s="17" t="inlineStr">
        <is>
          <t>3</t>
        </is>
      </c>
      <c r="D64" s="17" t="inlineStr">
        <is>
          <t>NR05-DESIG</t>
        </is>
      </c>
      <c r="E64" s="17">
        <f>IF(D64="","",IFERROR(VLOOKUP(D64,Catálogo!$A:$D,2,FALSE),"Código não está no Catálogo"))</f>
        <v/>
      </c>
      <c r="F64" s="17">
        <f>IF(D64="","",IFERROR(VLOOKUP(D64,Catálogo!$A:$D,4,FALSE),""))</f>
        <v/>
      </c>
      <c r="G64" s="17" t="inlineStr">
        <is>
          <t>Nomeação e treinamento do designado NR-05</t>
        </is>
      </c>
      <c r="H64" s="17">
        <f>IF(D64="",0,IF(COUNTIFS($A$2:A64,A64,$D$2:D64,D64)=1,1,0))</f>
        <v/>
      </c>
      <c r="I64" s="17" t="inlineStr">
        <is>
          <t>Pendente</t>
        </is>
      </c>
      <c r="J64" s="17" t="inlineStr">
        <is>
          <t>01/01/2026 a 01/10/2026</t>
        </is>
      </c>
      <c r="K64" s="18" t="n"/>
      <c r="L64" s="17" t="inlineStr"/>
      <c r="M64">
        <f>IF(AND(B64&lt;&gt;"",B64='Por empresa'!$B$2),COUNTIF($B$2:B64,'Por empresa'!$B$2),"")</f>
        <v/>
      </c>
    </row>
    <row r="65">
      <c r="A65" s="17" t="inlineStr">
        <is>
          <t>N-005</t>
        </is>
      </c>
      <c r="B65" s="17">
        <f>IF(A65="","",IFERROR(VLOOKUP(A65,Notificações!$A:$B,2,FALSE),"ID não encontrado"))</f>
        <v/>
      </c>
      <c r="C65" s="17" t="inlineStr">
        <is>
          <t>4</t>
        </is>
      </c>
      <c r="D65" s="17" t="inlineStr">
        <is>
          <t>EPI</t>
        </is>
      </c>
      <c r="E65" s="17">
        <f>IF(D65="","",IFERROR(VLOOKUP(D65,Catálogo!$A:$D,2,FALSE),"Código não está no Catálogo"))</f>
        <v/>
      </c>
      <c r="F65" s="17">
        <f>IF(D65="","",IFERROR(VLOOKUP(D65,Catálogo!$A:$D,4,FALSE),""))</f>
        <v/>
      </c>
      <c r="G65" s="17" t="inlineStr">
        <is>
          <t>Fichas de EPI datadas, assinadas e com CA</t>
        </is>
      </c>
      <c r="H65" s="17">
        <f>IF(D65="",0,IF(COUNTIFS($A$2:A65,A65,$D$2:D65,D65)=1,1,0))</f>
        <v/>
      </c>
      <c r="I65" s="17" t="inlineStr">
        <is>
          <t>Pendente</t>
        </is>
      </c>
      <c r="J65" s="17" t="inlineStr">
        <is>
          <t>01/01/2026 a 01/10/2026</t>
        </is>
      </c>
      <c r="K65" s="18" t="n"/>
      <c r="L65" s="17" t="inlineStr"/>
      <c r="M65">
        <f>IF(AND(B65&lt;&gt;"",B65='Por empresa'!$B$2),COUNTIF($B$2:B65,'Por empresa'!$B$2),"")</f>
        <v/>
      </c>
    </row>
    <row r="66">
      <c r="A66" s="17" t="inlineStr">
        <is>
          <t>N-005</t>
        </is>
      </c>
      <c r="B66" s="17">
        <f>IF(A66="","",IFERROR(VLOOKUP(A66,Notificações!$A:$B,2,FALSE),"ID não encontrado"))</f>
        <v/>
      </c>
      <c r="C66" s="17" t="inlineStr">
        <is>
          <t>5</t>
        </is>
      </c>
      <c r="D66" s="17" t="inlineStr">
        <is>
          <t>ASO</t>
        </is>
      </c>
      <c r="E66" s="17">
        <f>IF(D66="","",IFERROR(VLOOKUP(D66,Catálogo!$A:$D,2,FALSE),"Código não está no Catálogo"))</f>
        <v/>
      </c>
      <c r="F66" s="17">
        <f>IF(D66="","",IFERROR(VLOOKUP(D66,Catálogo!$A:$D,4,FALSE),""))</f>
        <v/>
      </c>
      <c r="G66" s="17" t="inlineStr">
        <is>
          <t>ASOs atualizados</t>
        </is>
      </c>
      <c r="H66" s="17">
        <f>IF(D66="",0,IF(COUNTIFS($A$2:A66,A66,$D$2:D66,D66)=1,1,0))</f>
        <v/>
      </c>
      <c r="I66" s="17" t="inlineStr">
        <is>
          <t>Pendente</t>
        </is>
      </c>
      <c r="J66" s="17" t="inlineStr">
        <is>
          <t>01/01/2026 a 01/10/2026</t>
        </is>
      </c>
      <c r="K66" s="18" t="n"/>
      <c r="L66" s="17" t="inlineStr"/>
      <c r="M66">
        <f>IF(AND(B66&lt;&gt;"",B66='Por empresa'!$B$2),COUNTIF($B$2:B66,'Por empresa'!$B$2),"")</f>
        <v/>
      </c>
    </row>
    <row r="67">
      <c r="A67" s="17" t="inlineStr">
        <is>
          <t>N-005</t>
        </is>
      </c>
      <c r="B67" s="17">
        <f>IF(A67="","",IFERROR(VLOOKUP(A67,Notificações!$A:$B,2,FALSE),"ID não encontrado"))</f>
        <v/>
      </c>
      <c r="C67" s="17" t="inlineStr">
        <is>
          <t>6</t>
        </is>
      </c>
      <c r="D67" s="17" t="inlineStr">
        <is>
          <t>REL-EMP</t>
        </is>
      </c>
      <c r="E67" s="17">
        <f>IF(D67="","",IFERROR(VLOOKUP(D67,Catálogo!$A:$D,2,FALSE),"Código não está no Catálogo"))</f>
        <v/>
      </c>
      <c r="F67" s="17">
        <f>IF(D67="","",IFERROR(VLOOKUP(D67,Catálogo!$A:$D,4,FALSE),""))</f>
        <v/>
      </c>
      <c r="G67" s="17" t="inlineStr">
        <is>
          <t>Planilha Excel de empregados (nome, admissão, PIS, CPF, função)</t>
        </is>
      </c>
      <c r="H67" s="17">
        <f>IF(D67="",0,IF(COUNTIFS($A$2:A67,A67,$D$2:D67,D67)=1,1,0))</f>
        <v/>
      </c>
      <c r="I67" s="17" t="inlineStr">
        <is>
          <t>Pendente</t>
        </is>
      </c>
      <c r="J67" s="17" t="inlineStr">
        <is>
          <t>01/01/2026 a 01/10/2026</t>
        </is>
      </c>
      <c r="K67" s="18" t="n"/>
      <c r="L67" s="17" t="inlineStr"/>
      <c r="M67">
        <f>IF(AND(B67&lt;&gt;"",B67='Por empresa'!$B$2),COUNTIF($B$2:B67,'Por empresa'!$B$2),"")</f>
        <v/>
      </c>
    </row>
    <row r="68">
      <c r="A68" s="17" t="inlineStr">
        <is>
          <t>N-005</t>
        </is>
      </c>
      <c r="B68" s="17">
        <f>IF(A68="","",IFERROR(VLOOKUP(A68,Notificações!$A:$B,2,FALSE),"ID não encontrado"))</f>
        <v/>
      </c>
      <c r="C68" s="17" t="inlineStr">
        <is>
          <t>7</t>
        </is>
      </c>
      <c r="D68" s="17" t="inlineStr">
        <is>
          <t>PCMSO</t>
        </is>
      </c>
      <c r="E68" s="17">
        <f>IF(D68="","",IFERROR(VLOOKUP(D68,Catálogo!$A:$D,2,FALSE),"Código não está no Catálogo"))</f>
        <v/>
      </c>
      <c r="F68" s="17">
        <f>IF(D68="","",IFERROR(VLOOKUP(D68,Catálogo!$A:$D,4,FALSE),""))</f>
        <v/>
      </c>
      <c r="G68" s="17" t="inlineStr">
        <is>
          <t>PCMSO assinado e correlacionado ao inventário do PGR</t>
        </is>
      </c>
      <c r="H68" s="17">
        <f>IF(D68="",0,IF(COUNTIFS($A$2:A68,A68,$D$2:D68,D68)=1,1,0))</f>
        <v/>
      </c>
      <c r="I68" s="17" t="inlineStr">
        <is>
          <t>Pendente</t>
        </is>
      </c>
      <c r="J68" s="17" t="inlineStr"/>
      <c r="K68" s="18" t="n"/>
      <c r="L68" s="17" t="inlineStr"/>
      <c r="M68">
        <f>IF(AND(B68&lt;&gt;"",B68='Por empresa'!$B$2),COUNTIF($B$2:B68,'Por empresa'!$B$2),"")</f>
        <v/>
      </c>
    </row>
    <row r="69">
      <c r="A69" s="17" t="inlineStr">
        <is>
          <t>N-005</t>
        </is>
      </c>
      <c r="B69" s="17">
        <f>IF(A69="","",IFERROR(VLOOKUP(A69,Notificações!$A:$B,2,FALSE),"ID não encontrado"))</f>
        <v/>
      </c>
      <c r="C69" s="17" t="inlineStr">
        <is>
          <t>8</t>
        </is>
      </c>
      <c r="D69" s="17" t="inlineStr">
        <is>
          <t>ATERR</t>
        </is>
      </c>
      <c r="E69" s="17">
        <f>IF(D69="","",IFERROR(VLOOKUP(D69,Catálogo!$A:$D,2,FALSE),"Código não está no Catálogo"))</f>
        <v/>
      </c>
      <c r="F69" s="17">
        <f>IF(D69="","",IFERROR(VLOOKUP(D69,Catálogo!$A:$D,4,FALSE),""))</f>
        <v/>
      </c>
      <c r="G69" s="17" t="inlineStr">
        <is>
          <t>Laudo de aterramento de máquinas com ART</t>
        </is>
      </c>
      <c r="H69" s="17">
        <f>IF(D69="",0,IF(COUNTIFS($A$2:A69,A69,$D$2:D69,D69)=1,1,0))</f>
        <v/>
      </c>
      <c r="I69" s="17" t="inlineStr">
        <is>
          <t>Pendente</t>
        </is>
      </c>
      <c r="J69" s="17" t="inlineStr"/>
      <c r="K69" s="18" t="n"/>
      <c r="L69" s="17" t="inlineStr"/>
      <c r="M69">
        <f>IF(AND(B69&lt;&gt;"",B69='Por empresa'!$B$2),COUNTIF($B$2:B69,'Por empresa'!$B$2),"")</f>
        <v/>
      </c>
    </row>
    <row r="70">
      <c r="A70" s="17" t="inlineStr">
        <is>
          <t>N-005</t>
        </is>
      </c>
      <c r="B70" s="17">
        <f>IF(A70="","",IFERROR(VLOOKUP(A70,Notificações!$A:$B,2,FALSE),"ID não encontrado"))</f>
        <v/>
      </c>
      <c r="C70" s="17" t="inlineStr">
        <is>
          <t>9</t>
        </is>
      </c>
      <c r="D70" s="17" t="inlineStr">
        <is>
          <t>NR12-MANUT</t>
        </is>
      </c>
      <c r="E70" s="17">
        <f>IF(D70="","",IFERROR(VLOOKUP(D70,Catálogo!$A:$D,2,FALSE),"Código não está no Catálogo"))</f>
        <v/>
      </c>
      <c r="F70" s="17">
        <f>IF(D70="","",IFERROR(VLOOKUP(D70,Catálogo!$A:$D,4,FALSE),""))</f>
        <v/>
      </c>
      <c r="G70" s="17" t="inlineStr">
        <is>
          <t>Registro de manutenção das máquinas (12.11.1)</t>
        </is>
      </c>
      <c r="H70" s="17">
        <f>IF(D70="",0,IF(COUNTIFS($A$2:A70,A70,$D$2:D70,D70)=1,1,0))</f>
        <v/>
      </c>
      <c r="I70" s="17" t="inlineStr">
        <is>
          <t>Pendente</t>
        </is>
      </c>
      <c r="J70" s="17" t="inlineStr"/>
      <c r="K70" s="18" t="n"/>
      <c r="L70" s="17" t="inlineStr"/>
      <c r="M70">
        <f>IF(AND(B70&lt;&gt;"",B70='Por empresa'!$B$2),COUNTIF($B$2:B70,'Por empresa'!$B$2),"")</f>
        <v/>
      </c>
    </row>
    <row r="71">
      <c r="A71" s="17" t="inlineStr">
        <is>
          <t>N-005</t>
        </is>
      </c>
      <c r="B71" s="17">
        <f>IF(A71="","",IFERROR(VLOOKUP(A71,Notificações!$A:$B,2,FALSE),"ID não encontrado"))</f>
        <v/>
      </c>
      <c r="C71" s="17" t="inlineStr">
        <is>
          <t>10</t>
        </is>
      </c>
      <c r="D71" s="17" t="inlineStr">
        <is>
          <t>AVCB</t>
        </is>
      </c>
      <c r="E71" s="17">
        <f>IF(D71="","",IFERROR(VLOOKUP(D71,Catálogo!$A:$D,2,FALSE),"Código não está no Catálogo"))</f>
        <v/>
      </c>
      <c r="F71" s="17">
        <f>IF(D71="","",IFERROR(VLOOKUP(D71,Catálogo!$A:$D,4,FALSE),""))</f>
        <v/>
      </c>
      <c r="G71" s="17" t="inlineStr">
        <is>
          <t>AVCB</t>
        </is>
      </c>
      <c r="H71" s="17">
        <f>IF(D71="",0,IF(COUNTIFS($A$2:A71,A71,$D$2:D71,D71)=1,1,0))</f>
        <v/>
      </c>
      <c r="I71" s="17" t="inlineStr">
        <is>
          <t>Pendente</t>
        </is>
      </c>
      <c r="J71" s="17" t="inlineStr">
        <is>
          <t>01/01/2026 a 01/10/2026</t>
        </is>
      </c>
      <c r="K71" s="18" t="n"/>
      <c r="L71" s="17" t="inlineStr"/>
      <c r="M71">
        <f>IF(AND(B71&lt;&gt;"",B71='Por empresa'!$B$2),COUNTIF($B$2:B71,'Por empresa'!$B$2),"")</f>
        <v/>
      </c>
    </row>
    <row r="72">
      <c r="A72" s="17" t="inlineStr">
        <is>
          <t>N-005</t>
        </is>
      </c>
      <c r="B72" s="17">
        <f>IF(A72="","",IFERROR(VLOOKUP(A72,Notificações!$A:$B,2,FALSE),"ID não encontrado"))</f>
        <v/>
      </c>
      <c r="C72" s="17" t="inlineStr">
        <is>
          <t>11</t>
        </is>
      </c>
      <c r="D72" s="17" t="inlineStr">
        <is>
          <t>NR12-ADEQ</t>
        </is>
      </c>
      <c r="E72" s="17">
        <f>IF(D72="","",IFERROR(VLOOKUP(D72,Catálogo!$A:$D,2,FALSE),"Código não está no Catálogo"))</f>
        <v/>
      </c>
      <c r="F72" s="17">
        <f>IF(D72="","",IFERROR(VLOOKUP(D72,Catálogo!$A:$D,4,FALSE),""))</f>
        <v/>
      </c>
      <c r="G72" s="17" t="inlineStr">
        <is>
          <t>(manuscrito) Relatório fotográfico: proteger circuitos elétricos; substituir proteções da Lucatti(?); intertravar proteções da bancada de teste; proteger a zona de perigo da máquina de teste de bomba</t>
        </is>
      </c>
      <c r="H72" s="17">
        <f>IF(D72="",0,IF(COUNTIFS($A$2:A72,A72,$D$2:D72,D72)=1,1,0))</f>
        <v/>
      </c>
      <c r="I72" s="17" t="inlineStr">
        <is>
          <t>Pendente</t>
        </is>
      </c>
      <c r="J72" s="17" t="inlineStr"/>
      <c r="K72" s="18" t="n"/>
      <c r="L72" s="17" t="inlineStr">
        <is>
          <t>Nome da máquina 'Lucatti' a confirmar</t>
        </is>
      </c>
      <c r="M72">
        <f>IF(AND(B72&lt;&gt;"",B72='Por empresa'!$B$2),COUNTIF($B$2:B72,'Por empresa'!$B$2),"")</f>
        <v/>
      </c>
    </row>
    <row r="73">
      <c r="A73" s="17" t="n"/>
      <c r="B73" s="17">
        <f>IF(A73="","",IFERROR(VLOOKUP(A73,Notificações!$A:$B,2,FALSE),"ID não encontrado"))</f>
        <v/>
      </c>
      <c r="C73" s="17" t="n"/>
      <c r="D73" s="17" t="n"/>
      <c r="E73" s="17">
        <f>IF(D73="","",IFERROR(VLOOKUP(D73,Catálogo!$A:$D,2,FALSE),"Código não está no Catálogo"))</f>
        <v/>
      </c>
      <c r="F73" s="17">
        <f>IF(D73="","",IFERROR(VLOOKUP(D73,Catálogo!$A:$D,4,FALSE),""))</f>
        <v/>
      </c>
      <c r="G73" s="17" t="n"/>
      <c r="H73" s="17">
        <f>IF(D73="",0,IF(COUNTIFS($A$2:A73,A73,$D$2:D73,D73)=1,1,0))</f>
        <v/>
      </c>
      <c r="I73" s="17" t="n"/>
      <c r="J73" s="17" t="n"/>
      <c r="K73" s="18" t="n"/>
      <c r="L73" s="17" t="n"/>
      <c r="M73">
        <f>IF(AND(B73&lt;&gt;"",B73='Por empresa'!$B$2),COUNTIF($B$2:B73,'Por empresa'!$B$2),"")</f>
        <v/>
      </c>
    </row>
    <row r="74">
      <c r="A74" s="17" t="n"/>
      <c r="B74" s="17">
        <f>IF(A74="","",IFERROR(VLOOKUP(A74,Notificações!$A:$B,2,FALSE),"ID não encontrado"))</f>
        <v/>
      </c>
      <c r="C74" s="17" t="n"/>
      <c r="D74" s="17" t="n"/>
      <c r="E74" s="17">
        <f>IF(D74="","",IFERROR(VLOOKUP(D74,Catálogo!$A:$D,2,FALSE),"Código não está no Catálogo"))</f>
        <v/>
      </c>
      <c r="F74" s="17">
        <f>IF(D74="","",IFERROR(VLOOKUP(D74,Catálogo!$A:$D,4,FALSE),""))</f>
        <v/>
      </c>
      <c r="G74" s="17" t="n"/>
      <c r="H74" s="17">
        <f>IF(D74="",0,IF(COUNTIFS($A$2:A74,A74,$D$2:D74,D74)=1,1,0))</f>
        <v/>
      </c>
      <c r="I74" s="17" t="n"/>
      <c r="J74" s="17" t="n"/>
      <c r="K74" s="18" t="n"/>
      <c r="L74" s="17" t="n"/>
      <c r="M74">
        <f>IF(AND(B74&lt;&gt;"",B74='Por empresa'!$B$2),COUNTIF($B$2:B74,'Por empresa'!$B$2),"")</f>
        <v/>
      </c>
    </row>
    <row r="75">
      <c r="A75" s="17" t="n"/>
      <c r="B75" s="17">
        <f>IF(A75="","",IFERROR(VLOOKUP(A75,Notificações!$A:$B,2,FALSE),"ID não encontrado"))</f>
        <v/>
      </c>
      <c r="C75" s="17" t="n"/>
      <c r="D75" s="17" t="n"/>
      <c r="E75" s="17">
        <f>IF(D75="","",IFERROR(VLOOKUP(D75,Catálogo!$A:$D,2,FALSE),"Código não está no Catálogo"))</f>
        <v/>
      </c>
      <c r="F75" s="17">
        <f>IF(D75="","",IFERROR(VLOOKUP(D75,Catálogo!$A:$D,4,FALSE),""))</f>
        <v/>
      </c>
      <c r="G75" s="17" t="n"/>
      <c r="H75" s="17">
        <f>IF(D75="",0,IF(COUNTIFS($A$2:A75,A75,$D$2:D75,D75)=1,1,0))</f>
        <v/>
      </c>
      <c r="I75" s="17" t="n"/>
      <c r="J75" s="17" t="n"/>
      <c r="K75" s="18" t="n"/>
      <c r="L75" s="17" t="n"/>
      <c r="M75">
        <f>IF(AND(B75&lt;&gt;"",B75='Por empresa'!$B$2),COUNTIF($B$2:B75,'Por empresa'!$B$2),"")</f>
        <v/>
      </c>
    </row>
    <row r="76">
      <c r="A76" s="17" t="n"/>
      <c r="B76" s="17">
        <f>IF(A76="","",IFERROR(VLOOKUP(A76,Notificações!$A:$B,2,FALSE),"ID não encontrado"))</f>
        <v/>
      </c>
      <c r="C76" s="17" t="n"/>
      <c r="D76" s="17" t="n"/>
      <c r="E76" s="17">
        <f>IF(D76="","",IFERROR(VLOOKUP(D76,Catálogo!$A:$D,2,FALSE),"Código não está no Catálogo"))</f>
        <v/>
      </c>
      <c r="F76" s="17">
        <f>IF(D76="","",IFERROR(VLOOKUP(D76,Catálogo!$A:$D,4,FALSE),""))</f>
        <v/>
      </c>
      <c r="G76" s="17" t="n"/>
      <c r="H76" s="17">
        <f>IF(D76="",0,IF(COUNTIFS($A$2:A76,A76,$D$2:D76,D76)=1,1,0))</f>
        <v/>
      </c>
      <c r="I76" s="17" t="n"/>
      <c r="J76" s="17" t="n"/>
      <c r="K76" s="18" t="n"/>
      <c r="L76" s="17" t="n"/>
      <c r="M76">
        <f>IF(AND(B76&lt;&gt;"",B76='Por empresa'!$B$2),COUNTIF($B$2:B76,'Por empresa'!$B$2),"")</f>
        <v/>
      </c>
    </row>
    <row r="77">
      <c r="A77" s="17" t="n"/>
      <c r="B77" s="17">
        <f>IF(A77="","",IFERROR(VLOOKUP(A77,Notificações!$A:$B,2,FALSE),"ID não encontrado"))</f>
        <v/>
      </c>
      <c r="C77" s="17" t="n"/>
      <c r="D77" s="17" t="n"/>
      <c r="E77" s="17">
        <f>IF(D77="","",IFERROR(VLOOKUP(D77,Catálogo!$A:$D,2,FALSE),"Código não está no Catálogo"))</f>
        <v/>
      </c>
      <c r="F77" s="17">
        <f>IF(D77="","",IFERROR(VLOOKUP(D77,Catálogo!$A:$D,4,FALSE),""))</f>
        <v/>
      </c>
      <c r="G77" s="17" t="n"/>
      <c r="H77" s="17">
        <f>IF(D77="",0,IF(COUNTIFS($A$2:A77,A77,$D$2:D77,D77)=1,1,0))</f>
        <v/>
      </c>
      <c r="I77" s="17" t="n"/>
      <c r="J77" s="17" t="n"/>
      <c r="K77" s="18" t="n"/>
      <c r="L77" s="17" t="n"/>
      <c r="M77">
        <f>IF(AND(B77&lt;&gt;"",B77='Por empresa'!$B$2),COUNTIF($B$2:B77,'Por empresa'!$B$2),"")</f>
        <v/>
      </c>
    </row>
    <row r="78">
      <c r="A78" s="17" t="n"/>
      <c r="B78" s="17">
        <f>IF(A78="","",IFERROR(VLOOKUP(A78,Notificações!$A:$B,2,FALSE),"ID não encontrado"))</f>
        <v/>
      </c>
      <c r="C78" s="17" t="n"/>
      <c r="D78" s="17" t="n"/>
      <c r="E78" s="17">
        <f>IF(D78="","",IFERROR(VLOOKUP(D78,Catálogo!$A:$D,2,FALSE),"Código não está no Catálogo"))</f>
        <v/>
      </c>
      <c r="F78" s="17">
        <f>IF(D78="","",IFERROR(VLOOKUP(D78,Catálogo!$A:$D,4,FALSE),""))</f>
        <v/>
      </c>
      <c r="G78" s="17" t="n"/>
      <c r="H78" s="17">
        <f>IF(D78="",0,IF(COUNTIFS($A$2:A78,A78,$D$2:D78,D78)=1,1,0))</f>
        <v/>
      </c>
      <c r="I78" s="17" t="n"/>
      <c r="J78" s="17" t="n"/>
      <c r="K78" s="18" t="n"/>
      <c r="L78" s="17" t="n"/>
      <c r="M78">
        <f>IF(AND(B78&lt;&gt;"",B78='Por empresa'!$B$2),COUNTIF($B$2:B78,'Por empresa'!$B$2),"")</f>
        <v/>
      </c>
    </row>
    <row r="79">
      <c r="A79" s="17" t="n"/>
      <c r="B79" s="17">
        <f>IF(A79="","",IFERROR(VLOOKUP(A79,Notificações!$A:$B,2,FALSE),"ID não encontrado"))</f>
        <v/>
      </c>
      <c r="C79" s="17" t="n"/>
      <c r="D79" s="17" t="n"/>
      <c r="E79" s="17">
        <f>IF(D79="","",IFERROR(VLOOKUP(D79,Catálogo!$A:$D,2,FALSE),"Código não está no Catálogo"))</f>
        <v/>
      </c>
      <c r="F79" s="17">
        <f>IF(D79="","",IFERROR(VLOOKUP(D79,Catálogo!$A:$D,4,FALSE),""))</f>
        <v/>
      </c>
      <c r="G79" s="17" t="n"/>
      <c r="H79" s="17">
        <f>IF(D79="",0,IF(COUNTIFS($A$2:A79,A79,$D$2:D79,D79)=1,1,0))</f>
        <v/>
      </c>
      <c r="I79" s="17" t="n"/>
      <c r="J79" s="17" t="n"/>
      <c r="K79" s="18" t="n"/>
      <c r="L79" s="17" t="n"/>
      <c r="M79">
        <f>IF(AND(B79&lt;&gt;"",B79='Por empresa'!$B$2),COUNTIF($B$2:B79,'Por empresa'!$B$2),"")</f>
        <v/>
      </c>
    </row>
    <row r="80">
      <c r="A80" s="17" t="n"/>
      <c r="B80" s="17">
        <f>IF(A80="","",IFERROR(VLOOKUP(A80,Notificações!$A:$B,2,FALSE),"ID não encontrado"))</f>
        <v/>
      </c>
      <c r="C80" s="17" t="n"/>
      <c r="D80" s="17" t="n"/>
      <c r="E80" s="17">
        <f>IF(D80="","",IFERROR(VLOOKUP(D80,Catálogo!$A:$D,2,FALSE),"Código não está no Catálogo"))</f>
        <v/>
      </c>
      <c r="F80" s="17">
        <f>IF(D80="","",IFERROR(VLOOKUP(D80,Catálogo!$A:$D,4,FALSE),""))</f>
        <v/>
      </c>
      <c r="G80" s="17" t="n"/>
      <c r="H80" s="17">
        <f>IF(D80="",0,IF(COUNTIFS($A$2:A80,A80,$D$2:D80,D80)=1,1,0))</f>
        <v/>
      </c>
      <c r="I80" s="17" t="n"/>
      <c r="J80" s="17" t="n"/>
      <c r="K80" s="18" t="n"/>
      <c r="L80" s="17" t="n"/>
      <c r="M80">
        <f>IF(AND(B80&lt;&gt;"",B80='Por empresa'!$B$2),COUNTIF($B$2:B80,'Por empresa'!$B$2),"")</f>
        <v/>
      </c>
    </row>
    <row r="81">
      <c r="A81" s="17" t="n"/>
      <c r="B81" s="17">
        <f>IF(A81="","",IFERROR(VLOOKUP(A81,Notificações!$A:$B,2,FALSE),"ID não encontrado"))</f>
        <v/>
      </c>
      <c r="C81" s="17" t="n"/>
      <c r="D81" s="17" t="n"/>
      <c r="E81" s="17">
        <f>IF(D81="","",IFERROR(VLOOKUP(D81,Catálogo!$A:$D,2,FALSE),"Código não está no Catálogo"))</f>
        <v/>
      </c>
      <c r="F81" s="17">
        <f>IF(D81="","",IFERROR(VLOOKUP(D81,Catálogo!$A:$D,4,FALSE),""))</f>
        <v/>
      </c>
      <c r="G81" s="17" t="n"/>
      <c r="H81" s="17">
        <f>IF(D81="",0,IF(COUNTIFS($A$2:A81,A81,$D$2:D81,D81)=1,1,0))</f>
        <v/>
      </c>
      <c r="I81" s="17" t="n"/>
      <c r="J81" s="17" t="n"/>
      <c r="K81" s="18" t="n"/>
      <c r="L81" s="17" t="n"/>
      <c r="M81">
        <f>IF(AND(B81&lt;&gt;"",B81='Por empresa'!$B$2),COUNTIF($B$2:B81,'Por empresa'!$B$2),"")</f>
        <v/>
      </c>
    </row>
    <row r="82">
      <c r="A82" s="17" t="n"/>
      <c r="B82" s="17">
        <f>IF(A82="","",IFERROR(VLOOKUP(A82,Notificações!$A:$B,2,FALSE),"ID não encontrado"))</f>
        <v/>
      </c>
      <c r="C82" s="17" t="n"/>
      <c r="D82" s="17" t="n"/>
      <c r="E82" s="17">
        <f>IF(D82="","",IFERROR(VLOOKUP(D82,Catálogo!$A:$D,2,FALSE),"Código não está no Catálogo"))</f>
        <v/>
      </c>
      <c r="F82" s="17">
        <f>IF(D82="","",IFERROR(VLOOKUP(D82,Catálogo!$A:$D,4,FALSE),""))</f>
        <v/>
      </c>
      <c r="G82" s="17" t="n"/>
      <c r="H82" s="17">
        <f>IF(D82="",0,IF(COUNTIFS($A$2:A82,A82,$D$2:D82,D82)=1,1,0))</f>
        <v/>
      </c>
      <c r="I82" s="17" t="n"/>
      <c r="J82" s="17" t="n"/>
      <c r="K82" s="18" t="n"/>
      <c r="L82" s="17" t="n"/>
      <c r="M82">
        <f>IF(AND(B82&lt;&gt;"",B82='Por empresa'!$B$2),COUNTIF($B$2:B82,'Por empresa'!$B$2),"")</f>
        <v/>
      </c>
    </row>
    <row r="83">
      <c r="A83" s="17" t="n"/>
      <c r="B83" s="17">
        <f>IF(A83="","",IFERROR(VLOOKUP(A83,Notificações!$A:$B,2,FALSE),"ID não encontrado"))</f>
        <v/>
      </c>
      <c r="C83" s="17" t="n"/>
      <c r="D83" s="17" t="n"/>
      <c r="E83" s="17">
        <f>IF(D83="","",IFERROR(VLOOKUP(D83,Catálogo!$A:$D,2,FALSE),"Código não está no Catálogo"))</f>
        <v/>
      </c>
      <c r="F83" s="17">
        <f>IF(D83="","",IFERROR(VLOOKUP(D83,Catálogo!$A:$D,4,FALSE),""))</f>
        <v/>
      </c>
      <c r="G83" s="17" t="n"/>
      <c r="H83" s="17">
        <f>IF(D83="",0,IF(COUNTIFS($A$2:A83,A83,$D$2:D83,D83)=1,1,0))</f>
        <v/>
      </c>
      <c r="I83" s="17" t="n"/>
      <c r="J83" s="17" t="n"/>
      <c r="K83" s="18" t="n"/>
      <c r="L83" s="17" t="n"/>
      <c r="M83">
        <f>IF(AND(B83&lt;&gt;"",B83='Por empresa'!$B$2),COUNTIF($B$2:B83,'Por empresa'!$B$2),"")</f>
        <v/>
      </c>
    </row>
    <row r="84">
      <c r="A84" s="17" t="n"/>
      <c r="B84" s="17">
        <f>IF(A84="","",IFERROR(VLOOKUP(A84,Notificações!$A:$B,2,FALSE),"ID não encontrado"))</f>
        <v/>
      </c>
      <c r="C84" s="17" t="n"/>
      <c r="D84" s="17" t="n"/>
      <c r="E84" s="17">
        <f>IF(D84="","",IFERROR(VLOOKUP(D84,Catálogo!$A:$D,2,FALSE),"Código não está no Catálogo"))</f>
        <v/>
      </c>
      <c r="F84" s="17">
        <f>IF(D84="","",IFERROR(VLOOKUP(D84,Catálogo!$A:$D,4,FALSE),""))</f>
        <v/>
      </c>
      <c r="G84" s="17" t="n"/>
      <c r="H84" s="17">
        <f>IF(D84="",0,IF(COUNTIFS($A$2:A84,A84,$D$2:D84,D84)=1,1,0))</f>
        <v/>
      </c>
      <c r="I84" s="17" t="n"/>
      <c r="J84" s="17" t="n"/>
      <c r="K84" s="18" t="n"/>
      <c r="L84" s="17" t="n"/>
      <c r="M84">
        <f>IF(AND(B84&lt;&gt;"",B84='Por empresa'!$B$2),COUNTIF($B$2:B84,'Por empresa'!$B$2),"")</f>
        <v/>
      </c>
    </row>
    <row r="85">
      <c r="A85" s="17" t="n"/>
      <c r="B85" s="17">
        <f>IF(A85="","",IFERROR(VLOOKUP(A85,Notificações!$A:$B,2,FALSE),"ID não encontrado"))</f>
        <v/>
      </c>
      <c r="C85" s="17" t="n"/>
      <c r="D85" s="17" t="n"/>
      <c r="E85" s="17">
        <f>IF(D85="","",IFERROR(VLOOKUP(D85,Catálogo!$A:$D,2,FALSE),"Código não está no Catálogo"))</f>
        <v/>
      </c>
      <c r="F85" s="17">
        <f>IF(D85="","",IFERROR(VLOOKUP(D85,Catálogo!$A:$D,4,FALSE),""))</f>
        <v/>
      </c>
      <c r="G85" s="17" t="n"/>
      <c r="H85" s="17">
        <f>IF(D85="",0,IF(COUNTIFS($A$2:A85,A85,$D$2:D85,D85)=1,1,0))</f>
        <v/>
      </c>
      <c r="I85" s="17" t="n"/>
      <c r="J85" s="17" t="n"/>
      <c r="K85" s="18" t="n"/>
      <c r="L85" s="17" t="n"/>
      <c r="M85">
        <f>IF(AND(B85&lt;&gt;"",B85='Por empresa'!$B$2),COUNTIF($B$2:B85,'Por empresa'!$B$2),"")</f>
        <v/>
      </c>
    </row>
    <row r="86">
      <c r="A86" s="17" t="n"/>
      <c r="B86" s="17">
        <f>IF(A86="","",IFERROR(VLOOKUP(A86,Notificações!$A:$B,2,FALSE),"ID não encontrado"))</f>
        <v/>
      </c>
      <c r="C86" s="17" t="n"/>
      <c r="D86" s="17" t="n"/>
      <c r="E86" s="17">
        <f>IF(D86="","",IFERROR(VLOOKUP(D86,Catálogo!$A:$D,2,FALSE),"Código não está no Catálogo"))</f>
        <v/>
      </c>
      <c r="F86" s="17">
        <f>IF(D86="","",IFERROR(VLOOKUP(D86,Catálogo!$A:$D,4,FALSE),""))</f>
        <v/>
      </c>
      <c r="G86" s="17" t="n"/>
      <c r="H86" s="17">
        <f>IF(D86="",0,IF(COUNTIFS($A$2:A86,A86,$D$2:D86,D86)=1,1,0))</f>
        <v/>
      </c>
      <c r="I86" s="17" t="n"/>
      <c r="J86" s="17" t="n"/>
      <c r="K86" s="18" t="n"/>
      <c r="L86" s="17" t="n"/>
      <c r="M86">
        <f>IF(AND(B86&lt;&gt;"",B86='Por empresa'!$B$2),COUNTIF($B$2:B86,'Por empresa'!$B$2),"")</f>
        <v/>
      </c>
    </row>
    <row r="87">
      <c r="A87" s="17" t="n"/>
      <c r="B87" s="17">
        <f>IF(A87="","",IFERROR(VLOOKUP(A87,Notificações!$A:$B,2,FALSE),"ID não encontrado"))</f>
        <v/>
      </c>
      <c r="C87" s="17" t="n"/>
      <c r="D87" s="17" t="n"/>
      <c r="E87" s="17">
        <f>IF(D87="","",IFERROR(VLOOKUP(D87,Catálogo!$A:$D,2,FALSE),"Código não está no Catálogo"))</f>
        <v/>
      </c>
      <c r="F87" s="17">
        <f>IF(D87="","",IFERROR(VLOOKUP(D87,Catálogo!$A:$D,4,FALSE),""))</f>
        <v/>
      </c>
      <c r="G87" s="17" t="n"/>
      <c r="H87" s="17">
        <f>IF(D87="",0,IF(COUNTIFS($A$2:A87,A87,$D$2:D87,D87)=1,1,0))</f>
        <v/>
      </c>
      <c r="I87" s="17" t="n"/>
      <c r="J87" s="17" t="n"/>
      <c r="K87" s="18" t="n"/>
      <c r="L87" s="17" t="n"/>
      <c r="M87">
        <f>IF(AND(B87&lt;&gt;"",B87='Por empresa'!$B$2),COUNTIF($B$2:B87,'Por empresa'!$B$2),"")</f>
        <v/>
      </c>
    </row>
    <row r="88">
      <c r="A88" s="17" t="n"/>
      <c r="B88" s="17">
        <f>IF(A88="","",IFERROR(VLOOKUP(A88,Notificações!$A:$B,2,FALSE),"ID não encontrado"))</f>
        <v/>
      </c>
      <c r="C88" s="17" t="n"/>
      <c r="D88" s="17" t="n"/>
      <c r="E88" s="17">
        <f>IF(D88="","",IFERROR(VLOOKUP(D88,Catálogo!$A:$D,2,FALSE),"Código não está no Catálogo"))</f>
        <v/>
      </c>
      <c r="F88" s="17">
        <f>IF(D88="","",IFERROR(VLOOKUP(D88,Catálogo!$A:$D,4,FALSE),""))</f>
        <v/>
      </c>
      <c r="G88" s="17" t="n"/>
      <c r="H88" s="17">
        <f>IF(D88="",0,IF(COUNTIFS($A$2:A88,A88,$D$2:D88,D88)=1,1,0))</f>
        <v/>
      </c>
      <c r="I88" s="17" t="n"/>
      <c r="J88" s="17" t="n"/>
      <c r="K88" s="18" t="n"/>
      <c r="L88" s="17" t="n"/>
      <c r="M88">
        <f>IF(AND(B88&lt;&gt;"",B88='Por empresa'!$B$2),COUNTIF($B$2:B88,'Por empresa'!$B$2),"")</f>
        <v/>
      </c>
    </row>
    <row r="89">
      <c r="A89" s="17" t="n"/>
      <c r="B89" s="17">
        <f>IF(A89="","",IFERROR(VLOOKUP(A89,Notificações!$A:$B,2,FALSE),"ID não encontrado"))</f>
        <v/>
      </c>
      <c r="C89" s="17" t="n"/>
      <c r="D89" s="17" t="n"/>
      <c r="E89" s="17">
        <f>IF(D89="","",IFERROR(VLOOKUP(D89,Catálogo!$A:$D,2,FALSE),"Código não está no Catálogo"))</f>
        <v/>
      </c>
      <c r="F89" s="17">
        <f>IF(D89="","",IFERROR(VLOOKUP(D89,Catálogo!$A:$D,4,FALSE),""))</f>
        <v/>
      </c>
      <c r="G89" s="17" t="n"/>
      <c r="H89" s="17">
        <f>IF(D89="",0,IF(COUNTIFS($A$2:A89,A89,$D$2:D89,D89)=1,1,0))</f>
        <v/>
      </c>
      <c r="I89" s="17" t="n"/>
      <c r="J89" s="17" t="n"/>
      <c r="K89" s="18" t="n"/>
      <c r="L89" s="17" t="n"/>
      <c r="M89">
        <f>IF(AND(B89&lt;&gt;"",B89='Por empresa'!$B$2),COUNTIF($B$2:B89,'Por empresa'!$B$2),"")</f>
        <v/>
      </c>
    </row>
    <row r="90">
      <c r="A90" s="17" t="n"/>
      <c r="B90" s="17">
        <f>IF(A90="","",IFERROR(VLOOKUP(A90,Notificações!$A:$B,2,FALSE),"ID não encontrado"))</f>
        <v/>
      </c>
      <c r="C90" s="17" t="n"/>
      <c r="D90" s="17" t="n"/>
      <c r="E90" s="17">
        <f>IF(D90="","",IFERROR(VLOOKUP(D90,Catálogo!$A:$D,2,FALSE),"Código não está no Catálogo"))</f>
        <v/>
      </c>
      <c r="F90" s="17">
        <f>IF(D90="","",IFERROR(VLOOKUP(D90,Catálogo!$A:$D,4,FALSE),""))</f>
        <v/>
      </c>
      <c r="G90" s="17" t="n"/>
      <c r="H90" s="17">
        <f>IF(D90="",0,IF(COUNTIFS($A$2:A90,A90,$D$2:D90,D90)=1,1,0))</f>
        <v/>
      </c>
      <c r="I90" s="17" t="n"/>
      <c r="J90" s="17" t="n"/>
      <c r="K90" s="18" t="n"/>
      <c r="L90" s="17" t="n"/>
      <c r="M90">
        <f>IF(AND(B90&lt;&gt;"",B90='Por empresa'!$B$2),COUNTIF($B$2:B90,'Por empresa'!$B$2),"")</f>
        <v/>
      </c>
    </row>
    <row r="91">
      <c r="A91" s="17" t="n"/>
      <c r="B91" s="17">
        <f>IF(A91="","",IFERROR(VLOOKUP(A91,Notificações!$A:$B,2,FALSE),"ID não encontrado"))</f>
        <v/>
      </c>
      <c r="C91" s="17" t="n"/>
      <c r="D91" s="17" t="n"/>
      <c r="E91" s="17">
        <f>IF(D91="","",IFERROR(VLOOKUP(D91,Catálogo!$A:$D,2,FALSE),"Código não está no Catálogo"))</f>
        <v/>
      </c>
      <c r="F91" s="17">
        <f>IF(D91="","",IFERROR(VLOOKUP(D91,Catálogo!$A:$D,4,FALSE),""))</f>
        <v/>
      </c>
      <c r="G91" s="17" t="n"/>
      <c r="H91" s="17">
        <f>IF(D91="",0,IF(COUNTIFS($A$2:A91,A91,$D$2:D91,D91)=1,1,0))</f>
        <v/>
      </c>
      <c r="I91" s="17" t="n"/>
      <c r="J91" s="17" t="n"/>
      <c r="K91" s="18" t="n"/>
      <c r="L91" s="17" t="n"/>
      <c r="M91">
        <f>IF(AND(B91&lt;&gt;"",B91='Por empresa'!$B$2),COUNTIF($B$2:B91,'Por empresa'!$B$2),"")</f>
        <v/>
      </c>
    </row>
    <row r="92">
      <c r="A92" s="17" t="n"/>
      <c r="B92" s="17">
        <f>IF(A92="","",IFERROR(VLOOKUP(A92,Notificações!$A:$B,2,FALSE),"ID não encontrado"))</f>
        <v/>
      </c>
      <c r="C92" s="17" t="n"/>
      <c r="D92" s="17" t="n"/>
      <c r="E92" s="17">
        <f>IF(D92="","",IFERROR(VLOOKUP(D92,Catálogo!$A:$D,2,FALSE),"Código não está no Catálogo"))</f>
        <v/>
      </c>
      <c r="F92" s="17">
        <f>IF(D92="","",IFERROR(VLOOKUP(D92,Catálogo!$A:$D,4,FALSE),""))</f>
        <v/>
      </c>
      <c r="G92" s="17" t="n"/>
      <c r="H92" s="17">
        <f>IF(D92="",0,IF(COUNTIFS($A$2:A92,A92,$D$2:D92,D92)=1,1,0))</f>
        <v/>
      </c>
      <c r="I92" s="17" t="n"/>
      <c r="J92" s="17" t="n"/>
      <c r="K92" s="18" t="n"/>
      <c r="L92" s="17" t="n"/>
      <c r="M92">
        <f>IF(AND(B92&lt;&gt;"",B92='Por empresa'!$B$2),COUNTIF($B$2:B92,'Por empresa'!$B$2),"")</f>
        <v/>
      </c>
    </row>
    <row r="93">
      <c r="A93" s="17" t="n"/>
      <c r="B93" s="17">
        <f>IF(A93="","",IFERROR(VLOOKUP(A93,Notificações!$A:$B,2,FALSE),"ID não encontrado"))</f>
        <v/>
      </c>
      <c r="C93" s="17" t="n"/>
      <c r="D93" s="17" t="n"/>
      <c r="E93" s="17">
        <f>IF(D93="","",IFERROR(VLOOKUP(D93,Catálogo!$A:$D,2,FALSE),"Código não está no Catálogo"))</f>
        <v/>
      </c>
      <c r="F93" s="17">
        <f>IF(D93="","",IFERROR(VLOOKUP(D93,Catálogo!$A:$D,4,FALSE),""))</f>
        <v/>
      </c>
      <c r="G93" s="17" t="n"/>
      <c r="H93" s="17">
        <f>IF(D93="",0,IF(COUNTIFS($A$2:A93,A93,$D$2:D93,D93)=1,1,0))</f>
        <v/>
      </c>
      <c r="I93" s="17" t="n"/>
      <c r="J93" s="17" t="n"/>
      <c r="K93" s="18" t="n"/>
      <c r="L93" s="17" t="n"/>
      <c r="M93">
        <f>IF(AND(B93&lt;&gt;"",B93='Por empresa'!$B$2),COUNTIF($B$2:B93,'Por empresa'!$B$2),"")</f>
        <v/>
      </c>
    </row>
    <row r="94">
      <c r="A94" s="17" t="n"/>
      <c r="B94" s="17">
        <f>IF(A94="","",IFERROR(VLOOKUP(A94,Notificações!$A:$B,2,FALSE),"ID não encontrado"))</f>
        <v/>
      </c>
      <c r="C94" s="17" t="n"/>
      <c r="D94" s="17" t="n"/>
      <c r="E94" s="17">
        <f>IF(D94="","",IFERROR(VLOOKUP(D94,Catálogo!$A:$D,2,FALSE),"Código não está no Catálogo"))</f>
        <v/>
      </c>
      <c r="F94" s="17">
        <f>IF(D94="","",IFERROR(VLOOKUP(D94,Catálogo!$A:$D,4,FALSE),""))</f>
        <v/>
      </c>
      <c r="G94" s="17" t="n"/>
      <c r="H94" s="17">
        <f>IF(D94="",0,IF(COUNTIFS($A$2:A94,A94,$D$2:D94,D94)=1,1,0))</f>
        <v/>
      </c>
      <c r="I94" s="17" t="n"/>
      <c r="J94" s="17" t="n"/>
      <c r="K94" s="18" t="n"/>
      <c r="L94" s="17" t="n"/>
      <c r="M94">
        <f>IF(AND(B94&lt;&gt;"",B94='Por empresa'!$B$2),COUNTIF($B$2:B94,'Por empresa'!$B$2),"")</f>
        <v/>
      </c>
    </row>
    <row r="95">
      <c r="A95" s="17" t="n"/>
      <c r="B95" s="17">
        <f>IF(A95="","",IFERROR(VLOOKUP(A95,Notificações!$A:$B,2,FALSE),"ID não encontrado"))</f>
        <v/>
      </c>
      <c r="C95" s="17" t="n"/>
      <c r="D95" s="17" t="n"/>
      <c r="E95" s="17">
        <f>IF(D95="","",IFERROR(VLOOKUP(D95,Catálogo!$A:$D,2,FALSE),"Código não está no Catálogo"))</f>
        <v/>
      </c>
      <c r="F95" s="17">
        <f>IF(D95="","",IFERROR(VLOOKUP(D95,Catálogo!$A:$D,4,FALSE),""))</f>
        <v/>
      </c>
      <c r="G95" s="17" t="n"/>
      <c r="H95" s="17">
        <f>IF(D95="",0,IF(COUNTIFS($A$2:A95,A95,$D$2:D95,D95)=1,1,0))</f>
        <v/>
      </c>
      <c r="I95" s="17" t="n"/>
      <c r="J95" s="17" t="n"/>
      <c r="K95" s="18" t="n"/>
      <c r="L95" s="17" t="n"/>
      <c r="M95">
        <f>IF(AND(B95&lt;&gt;"",B95='Por empresa'!$B$2),COUNTIF($B$2:B95,'Por empresa'!$B$2),"")</f>
        <v/>
      </c>
    </row>
    <row r="96">
      <c r="A96" s="17" t="n"/>
      <c r="B96" s="17">
        <f>IF(A96="","",IFERROR(VLOOKUP(A96,Notificações!$A:$B,2,FALSE),"ID não encontrado"))</f>
        <v/>
      </c>
      <c r="C96" s="17" t="n"/>
      <c r="D96" s="17" t="n"/>
      <c r="E96" s="17">
        <f>IF(D96="","",IFERROR(VLOOKUP(D96,Catálogo!$A:$D,2,FALSE),"Código não está no Catálogo"))</f>
        <v/>
      </c>
      <c r="F96" s="17">
        <f>IF(D96="","",IFERROR(VLOOKUP(D96,Catálogo!$A:$D,4,FALSE),""))</f>
        <v/>
      </c>
      <c r="G96" s="17" t="n"/>
      <c r="H96" s="17">
        <f>IF(D96="",0,IF(COUNTIFS($A$2:A96,A96,$D$2:D96,D96)=1,1,0))</f>
        <v/>
      </c>
      <c r="I96" s="17" t="n"/>
      <c r="J96" s="17" t="n"/>
      <c r="K96" s="18" t="n"/>
      <c r="L96" s="17" t="n"/>
      <c r="M96">
        <f>IF(AND(B96&lt;&gt;"",B96='Por empresa'!$B$2),COUNTIF($B$2:B96,'Por empresa'!$B$2),"")</f>
        <v/>
      </c>
    </row>
    <row r="97">
      <c r="A97" s="17" t="n"/>
      <c r="B97" s="17">
        <f>IF(A97="","",IFERROR(VLOOKUP(A97,Notificações!$A:$B,2,FALSE),"ID não encontrado"))</f>
        <v/>
      </c>
      <c r="C97" s="17" t="n"/>
      <c r="D97" s="17" t="n"/>
      <c r="E97" s="17">
        <f>IF(D97="","",IFERROR(VLOOKUP(D97,Catálogo!$A:$D,2,FALSE),"Código não está no Catálogo"))</f>
        <v/>
      </c>
      <c r="F97" s="17">
        <f>IF(D97="","",IFERROR(VLOOKUP(D97,Catálogo!$A:$D,4,FALSE),""))</f>
        <v/>
      </c>
      <c r="G97" s="17" t="n"/>
      <c r="H97" s="17">
        <f>IF(D97="",0,IF(COUNTIFS($A$2:A97,A97,$D$2:D97,D97)=1,1,0))</f>
        <v/>
      </c>
      <c r="I97" s="17" t="n"/>
      <c r="J97" s="17" t="n"/>
      <c r="K97" s="18" t="n"/>
      <c r="L97" s="17" t="n"/>
      <c r="M97">
        <f>IF(AND(B97&lt;&gt;"",B97='Por empresa'!$B$2),COUNTIF($B$2:B97,'Por empresa'!$B$2),"")</f>
        <v/>
      </c>
    </row>
    <row r="98">
      <c r="A98" s="17" t="n"/>
      <c r="B98" s="17">
        <f>IF(A98="","",IFERROR(VLOOKUP(A98,Notificações!$A:$B,2,FALSE),"ID não encontrado"))</f>
        <v/>
      </c>
      <c r="C98" s="17" t="n"/>
      <c r="D98" s="17" t="n"/>
      <c r="E98" s="17">
        <f>IF(D98="","",IFERROR(VLOOKUP(D98,Catálogo!$A:$D,2,FALSE),"Código não está no Catálogo"))</f>
        <v/>
      </c>
      <c r="F98" s="17">
        <f>IF(D98="","",IFERROR(VLOOKUP(D98,Catálogo!$A:$D,4,FALSE),""))</f>
        <v/>
      </c>
      <c r="G98" s="17" t="n"/>
      <c r="H98" s="17">
        <f>IF(D98="",0,IF(COUNTIFS($A$2:A98,A98,$D$2:D98,D98)=1,1,0))</f>
        <v/>
      </c>
      <c r="I98" s="17" t="n"/>
      <c r="J98" s="17" t="n"/>
      <c r="K98" s="18" t="n"/>
      <c r="L98" s="17" t="n"/>
      <c r="M98">
        <f>IF(AND(B98&lt;&gt;"",B98='Por empresa'!$B$2),COUNTIF($B$2:B98,'Por empresa'!$B$2),"")</f>
        <v/>
      </c>
    </row>
    <row r="99">
      <c r="A99" s="17" t="n"/>
      <c r="B99" s="17">
        <f>IF(A99="","",IFERROR(VLOOKUP(A99,Notificações!$A:$B,2,FALSE),"ID não encontrado"))</f>
        <v/>
      </c>
      <c r="C99" s="17" t="n"/>
      <c r="D99" s="17" t="n"/>
      <c r="E99" s="17">
        <f>IF(D99="","",IFERROR(VLOOKUP(D99,Catálogo!$A:$D,2,FALSE),"Código não está no Catálogo"))</f>
        <v/>
      </c>
      <c r="F99" s="17">
        <f>IF(D99="","",IFERROR(VLOOKUP(D99,Catálogo!$A:$D,4,FALSE),""))</f>
        <v/>
      </c>
      <c r="G99" s="17" t="n"/>
      <c r="H99" s="17">
        <f>IF(D99="",0,IF(COUNTIFS($A$2:A99,A99,$D$2:D99,D99)=1,1,0))</f>
        <v/>
      </c>
      <c r="I99" s="17" t="n"/>
      <c r="J99" s="17" t="n"/>
      <c r="K99" s="18" t="n"/>
      <c r="L99" s="17" t="n"/>
      <c r="M99">
        <f>IF(AND(B99&lt;&gt;"",B99='Por empresa'!$B$2),COUNTIF($B$2:B99,'Por empresa'!$B$2),"")</f>
        <v/>
      </c>
    </row>
    <row r="100">
      <c r="A100" s="17" t="n"/>
      <c r="B100" s="17">
        <f>IF(A100="","",IFERROR(VLOOKUP(A100,Notificações!$A:$B,2,FALSE),"ID não encontrado"))</f>
        <v/>
      </c>
      <c r="C100" s="17" t="n"/>
      <c r="D100" s="17" t="n"/>
      <c r="E100" s="17">
        <f>IF(D100="","",IFERROR(VLOOKUP(D100,Catálogo!$A:$D,2,FALSE),"Código não está no Catálogo"))</f>
        <v/>
      </c>
      <c r="F100" s="17">
        <f>IF(D100="","",IFERROR(VLOOKUP(D100,Catálogo!$A:$D,4,FALSE),""))</f>
        <v/>
      </c>
      <c r="G100" s="17" t="n"/>
      <c r="H100" s="17">
        <f>IF(D100="",0,IF(COUNTIFS($A$2:A100,A100,$D$2:D100,D100)=1,1,0))</f>
        <v/>
      </c>
      <c r="I100" s="17" t="n"/>
      <c r="J100" s="17" t="n"/>
      <c r="K100" s="18" t="n"/>
      <c r="L100" s="17" t="n"/>
      <c r="M100">
        <f>IF(AND(B100&lt;&gt;"",B100='Por empresa'!$B$2),COUNTIF($B$2:B100,'Por empresa'!$B$2),"")</f>
        <v/>
      </c>
    </row>
    <row r="101">
      <c r="A101" s="17" t="n"/>
      <c r="B101" s="17">
        <f>IF(A101="","",IFERROR(VLOOKUP(A101,Notificações!$A:$B,2,FALSE),"ID não encontrado"))</f>
        <v/>
      </c>
      <c r="C101" s="17" t="n"/>
      <c r="D101" s="17" t="n"/>
      <c r="E101" s="17">
        <f>IF(D101="","",IFERROR(VLOOKUP(D101,Catálogo!$A:$D,2,FALSE),"Código não está no Catálogo"))</f>
        <v/>
      </c>
      <c r="F101" s="17">
        <f>IF(D101="","",IFERROR(VLOOKUP(D101,Catálogo!$A:$D,4,FALSE),""))</f>
        <v/>
      </c>
      <c r="G101" s="17" t="n"/>
      <c r="H101" s="17">
        <f>IF(D101="",0,IF(COUNTIFS($A$2:A101,A101,$D$2:D101,D101)=1,1,0))</f>
        <v/>
      </c>
      <c r="I101" s="17" t="n"/>
      <c r="J101" s="17" t="n"/>
      <c r="K101" s="18" t="n"/>
      <c r="L101" s="17" t="n"/>
      <c r="M101">
        <f>IF(AND(B101&lt;&gt;"",B101='Por empresa'!$B$2),COUNTIF($B$2:B101,'Por empresa'!$B$2),"")</f>
        <v/>
      </c>
    </row>
    <row r="102">
      <c r="A102" s="17" t="n"/>
      <c r="B102" s="17">
        <f>IF(A102="","",IFERROR(VLOOKUP(A102,Notificações!$A:$B,2,FALSE),"ID não encontrado"))</f>
        <v/>
      </c>
      <c r="C102" s="17" t="n"/>
      <c r="D102" s="17" t="n"/>
      <c r="E102" s="17">
        <f>IF(D102="","",IFERROR(VLOOKUP(D102,Catálogo!$A:$D,2,FALSE),"Código não está no Catálogo"))</f>
        <v/>
      </c>
      <c r="F102" s="17">
        <f>IF(D102="","",IFERROR(VLOOKUP(D102,Catálogo!$A:$D,4,FALSE),""))</f>
        <v/>
      </c>
      <c r="G102" s="17" t="n"/>
      <c r="H102" s="17">
        <f>IF(D102="",0,IF(COUNTIFS($A$2:A102,A102,$D$2:D102,D102)=1,1,0))</f>
        <v/>
      </c>
      <c r="I102" s="17" t="n"/>
      <c r="J102" s="17" t="n"/>
      <c r="K102" s="18" t="n"/>
      <c r="L102" s="17" t="n"/>
      <c r="M102">
        <f>IF(AND(B102&lt;&gt;"",B102='Por empresa'!$B$2),COUNTIF($B$2:B102,'Por empresa'!$B$2),"")</f>
        <v/>
      </c>
    </row>
    <row r="103">
      <c r="A103" s="17" t="n"/>
      <c r="B103" s="17">
        <f>IF(A103="","",IFERROR(VLOOKUP(A103,Notificações!$A:$B,2,FALSE),"ID não encontrado"))</f>
        <v/>
      </c>
      <c r="C103" s="17" t="n"/>
      <c r="D103" s="17" t="n"/>
      <c r="E103" s="17">
        <f>IF(D103="","",IFERROR(VLOOKUP(D103,Catálogo!$A:$D,2,FALSE),"Código não está no Catálogo"))</f>
        <v/>
      </c>
      <c r="F103" s="17">
        <f>IF(D103="","",IFERROR(VLOOKUP(D103,Catálogo!$A:$D,4,FALSE),""))</f>
        <v/>
      </c>
      <c r="G103" s="17" t="n"/>
      <c r="H103" s="17">
        <f>IF(D103="",0,IF(COUNTIFS($A$2:A103,A103,$D$2:D103,D103)=1,1,0))</f>
        <v/>
      </c>
      <c r="I103" s="17" t="n"/>
      <c r="J103" s="17" t="n"/>
      <c r="K103" s="18" t="n"/>
      <c r="L103" s="17" t="n"/>
      <c r="M103">
        <f>IF(AND(B103&lt;&gt;"",B103='Por empresa'!$B$2),COUNTIF($B$2:B103,'Por empresa'!$B$2),"")</f>
        <v/>
      </c>
    </row>
    <row r="104">
      <c r="A104" s="17" t="n"/>
      <c r="B104" s="17">
        <f>IF(A104="","",IFERROR(VLOOKUP(A104,Notificações!$A:$B,2,FALSE),"ID não encontrado"))</f>
        <v/>
      </c>
      <c r="C104" s="17" t="n"/>
      <c r="D104" s="17" t="n"/>
      <c r="E104" s="17">
        <f>IF(D104="","",IFERROR(VLOOKUP(D104,Catálogo!$A:$D,2,FALSE),"Código não está no Catálogo"))</f>
        <v/>
      </c>
      <c r="F104" s="17">
        <f>IF(D104="","",IFERROR(VLOOKUP(D104,Catálogo!$A:$D,4,FALSE),""))</f>
        <v/>
      </c>
      <c r="G104" s="17" t="n"/>
      <c r="H104" s="17">
        <f>IF(D104="",0,IF(COUNTIFS($A$2:A104,A104,$D$2:D104,D104)=1,1,0))</f>
        <v/>
      </c>
      <c r="I104" s="17" t="n"/>
      <c r="J104" s="17" t="n"/>
      <c r="K104" s="18" t="n"/>
      <c r="L104" s="17" t="n"/>
      <c r="M104">
        <f>IF(AND(B104&lt;&gt;"",B104='Por empresa'!$B$2),COUNTIF($B$2:B104,'Por empresa'!$B$2),"")</f>
        <v/>
      </c>
    </row>
    <row r="105">
      <c r="A105" s="17" t="n"/>
      <c r="B105" s="17">
        <f>IF(A105="","",IFERROR(VLOOKUP(A105,Notificações!$A:$B,2,FALSE),"ID não encontrado"))</f>
        <v/>
      </c>
      <c r="C105" s="17" t="n"/>
      <c r="D105" s="17" t="n"/>
      <c r="E105" s="17">
        <f>IF(D105="","",IFERROR(VLOOKUP(D105,Catálogo!$A:$D,2,FALSE),"Código não está no Catálogo"))</f>
        <v/>
      </c>
      <c r="F105" s="17">
        <f>IF(D105="","",IFERROR(VLOOKUP(D105,Catálogo!$A:$D,4,FALSE),""))</f>
        <v/>
      </c>
      <c r="G105" s="17" t="n"/>
      <c r="H105" s="17">
        <f>IF(D105="",0,IF(COUNTIFS($A$2:A105,A105,$D$2:D105,D105)=1,1,0))</f>
        <v/>
      </c>
      <c r="I105" s="17" t="n"/>
      <c r="J105" s="17" t="n"/>
      <c r="K105" s="18" t="n"/>
      <c r="L105" s="17" t="n"/>
      <c r="M105">
        <f>IF(AND(B105&lt;&gt;"",B105='Por empresa'!$B$2),COUNTIF($B$2:B105,'Por empresa'!$B$2),"")</f>
        <v/>
      </c>
    </row>
    <row r="106">
      <c r="A106" s="17" t="n"/>
      <c r="B106" s="17">
        <f>IF(A106="","",IFERROR(VLOOKUP(A106,Notificações!$A:$B,2,FALSE),"ID não encontrado"))</f>
        <v/>
      </c>
      <c r="C106" s="17" t="n"/>
      <c r="D106" s="17" t="n"/>
      <c r="E106" s="17">
        <f>IF(D106="","",IFERROR(VLOOKUP(D106,Catálogo!$A:$D,2,FALSE),"Código não está no Catálogo"))</f>
        <v/>
      </c>
      <c r="F106" s="17">
        <f>IF(D106="","",IFERROR(VLOOKUP(D106,Catálogo!$A:$D,4,FALSE),""))</f>
        <v/>
      </c>
      <c r="G106" s="17" t="n"/>
      <c r="H106" s="17">
        <f>IF(D106="",0,IF(COUNTIFS($A$2:A106,A106,$D$2:D106,D106)=1,1,0))</f>
        <v/>
      </c>
      <c r="I106" s="17" t="n"/>
      <c r="J106" s="17" t="n"/>
      <c r="K106" s="18" t="n"/>
      <c r="L106" s="17" t="n"/>
      <c r="M106">
        <f>IF(AND(B106&lt;&gt;"",B106='Por empresa'!$B$2),COUNTIF($B$2:B106,'Por empresa'!$B$2),"")</f>
        <v/>
      </c>
    </row>
    <row r="107">
      <c r="A107" s="17" t="n"/>
      <c r="B107" s="17">
        <f>IF(A107="","",IFERROR(VLOOKUP(A107,Notificações!$A:$B,2,FALSE),"ID não encontrado"))</f>
        <v/>
      </c>
      <c r="C107" s="17" t="n"/>
      <c r="D107" s="17" t="n"/>
      <c r="E107" s="17">
        <f>IF(D107="","",IFERROR(VLOOKUP(D107,Catálogo!$A:$D,2,FALSE),"Código não está no Catálogo"))</f>
        <v/>
      </c>
      <c r="F107" s="17">
        <f>IF(D107="","",IFERROR(VLOOKUP(D107,Catálogo!$A:$D,4,FALSE),""))</f>
        <v/>
      </c>
      <c r="G107" s="17" t="n"/>
      <c r="H107" s="17">
        <f>IF(D107="",0,IF(COUNTIFS($A$2:A107,A107,$D$2:D107,D107)=1,1,0))</f>
        <v/>
      </c>
      <c r="I107" s="17" t="n"/>
      <c r="J107" s="17" t="n"/>
      <c r="K107" s="18" t="n"/>
      <c r="L107" s="17" t="n"/>
      <c r="M107">
        <f>IF(AND(B107&lt;&gt;"",B107='Por empresa'!$B$2),COUNTIF($B$2:B107,'Por empresa'!$B$2),"")</f>
        <v/>
      </c>
    </row>
    <row r="108">
      <c r="A108" s="17" t="n"/>
      <c r="B108" s="17">
        <f>IF(A108="","",IFERROR(VLOOKUP(A108,Notificações!$A:$B,2,FALSE),"ID não encontrado"))</f>
        <v/>
      </c>
      <c r="C108" s="17" t="n"/>
      <c r="D108" s="17" t="n"/>
      <c r="E108" s="17">
        <f>IF(D108="","",IFERROR(VLOOKUP(D108,Catálogo!$A:$D,2,FALSE),"Código não está no Catálogo"))</f>
        <v/>
      </c>
      <c r="F108" s="17">
        <f>IF(D108="","",IFERROR(VLOOKUP(D108,Catálogo!$A:$D,4,FALSE),""))</f>
        <v/>
      </c>
      <c r="G108" s="17" t="n"/>
      <c r="H108" s="17">
        <f>IF(D108="",0,IF(COUNTIFS($A$2:A108,A108,$D$2:D108,D108)=1,1,0))</f>
        <v/>
      </c>
      <c r="I108" s="17" t="n"/>
      <c r="J108" s="17" t="n"/>
      <c r="K108" s="18" t="n"/>
      <c r="L108" s="17" t="n"/>
      <c r="M108">
        <f>IF(AND(B108&lt;&gt;"",B108='Por empresa'!$B$2),COUNTIF($B$2:B108,'Por empresa'!$B$2),"")</f>
        <v/>
      </c>
    </row>
    <row r="109">
      <c r="A109" s="17" t="n"/>
      <c r="B109" s="17">
        <f>IF(A109="","",IFERROR(VLOOKUP(A109,Notificações!$A:$B,2,FALSE),"ID não encontrado"))</f>
        <v/>
      </c>
      <c r="C109" s="17" t="n"/>
      <c r="D109" s="17" t="n"/>
      <c r="E109" s="17">
        <f>IF(D109="","",IFERROR(VLOOKUP(D109,Catálogo!$A:$D,2,FALSE),"Código não está no Catálogo"))</f>
        <v/>
      </c>
      <c r="F109" s="17">
        <f>IF(D109="","",IFERROR(VLOOKUP(D109,Catálogo!$A:$D,4,FALSE),""))</f>
        <v/>
      </c>
      <c r="G109" s="17" t="n"/>
      <c r="H109" s="17">
        <f>IF(D109="",0,IF(COUNTIFS($A$2:A109,A109,$D$2:D109,D109)=1,1,0))</f>
        <v/>
      </c>
      <c r="I109" s="17" t="n"/>
      <c r="J109" s="17" t="n"/>
      <c r="K109" s="18" t="n"/>
      <c r="L109" s="17" t="n"/>
      <c r="M109">
        <f>IF(AND(B109&lt;&gt;"",B109='Por empresa'!$B$2),COUNTIF($B$2:B109,'Por empresa'!$B$2),"")</f>
        <v/>
      </c>
    </row>
    <row r="110">
      <c r="A110" s="17" t="n"/>
      <c r="B110" s="17">
        <f>IF(A110="","",IFERROR(VLOOKUP(A110,Notificações!$A:$B,2,FALSE),"ID não encontrado"))</f>
        <v/>
      </c>
      <c r="C110" s="17" t="n"/>
      <c r="D110" s="17" t="n"/>
      <c r="E110" s="17">
        <f>IF(D110="","",IFERROR(VLOOKUP(D110,Catálogo!$A:$D,2,FALSE),"Código não está no Catálogo"))</f>
        <v/>
      </c>
      <c r="F110" s="17">
        <f>IF(D110="","",IFERROR(VLOOKUP(D110,Catálogo!$A:$D,4,FALSE),""))</f>
        <v/>
      </c>
      <c r="G110" s="17" t="n"/>
      <c r="H110" s="17">
        <f>IF(D110="",0,IF(COUNTIFS($A$2:A110,A110,$D$2:D110,D110)=1,1,0))</f>
        <v/>
      </c>
      <c r="I110" s="17" t="n"/>
      <c r="J110" s="17" t="n"/>
      <c r="K110" s="18" t="n"/>
      <c r="L110" s="17" t="n"/>
      <c r="M110">
        <f>IF(AND(B110&lt;&gt;"",B110='Por empresa'!$B$2),COUNTIF($B$2:B110,'Por empresa'!$B$2),"")</f>
        <v/>
      </c>
    </row>
    <row r="111">
      <c r="A111" s="17" t="n"/>
      <c r="B111" s="17">
        <f>IF(A111="","",IFERROR(VLOOKUP(A111,Notificações!$A:$B,2,FALSE),"ID não encontrado"))</f>
        <v/>
      </c>
      <c r="C111" s="17" t="n"/>
      <c r="D111" s="17" t="n"/>
      <c r="E111" s="17">
        <f>IF(D111="","",IFERROR(VLOOKUP(D111,Catálogo!$A:$D,2,FALSE),"Código não está no Catálogo"))</f>
        <v/>
      </c>
      <c r="F111" s="17">
        <f>IF(D111="","",IFERROR(VLOOKUP(D111,Catálogo!$A:$D,4,FALSE),""))</f>
        <v/>
      </c>
      <c r="G111" s="17" t="n"/>
      <c r="H111" s="17">
        <f>IF(D111="",0,IF(COUNTIFS($A$2:A111,A111,$D$2:D111,D111)=1,1,0))</f>
        <v/>
      </c>
      <c r="I111" s="17" t="n"/>
      <c r="J111" s="17" t="n"/>
      <c r="K111" s="18" t="n"/>
      <c r="L111" s="17" t="n"/>
      <c r="M111">
        <f>IF(AND(B111&lt;&gt;"",B111='Por empresa'!$B$2),COUNTIF($B$2:B111,'Por empresa'!$B$2),"")</f>
        <v/>
      </c>
    </row>
    <row r="112">
      <c r="A112" s="17" t="n"/>
      <c r="B112" s="17">
        <f>IF(A112="","",IFERROR(VLOOKUP(A112,Notificações!$A:$B,2,FALSE),"ID não encontrado"))</f>
        <v/>
      </c>
      <c r="C112" s="17" t="n"/>
      <c r="D112" s="17" t="n"/>
      <c r="E112" s="17">
        <f>IF(D112="","",IFERROR(VLOOKUP(D112,Catálogo!$A:$D,2,FALSE),"Código não está no Catálogo"))</f>
        <v/>
      </c>
      <c r="F112" s="17">
        <f>IF(D112="","",IFERROR(VLOOKUP(D112,Catálogo!$A:$D,4,FALSE),""))</f>
        <v/>
      </c>
      <c r="G112" s="17" t="n"/>
      <c r="H112" s="17">
        <f>IF(D112="",0,IF(COUNTIFS($A$2:A112,A112,$D$2:D112,D112)=1,1,0))</f>
        <v/>
      </c>
      <c r="I112" s="17" t="n"/>
      <c r="J112" s="17" t="n"/>
      <c r="K112" s="18" t="n"/>
      <c r="L112" s="17" t="n"/>
      <c r="M112">
        <f>IF(AND(B112&lt;&gt;"",B112='Por empresa'!$B$2),COUNTIF($B$2:B112,'Por empresa'!$B$2),"")</f>
        <v/>
      </c>
    </row>
    <row r="113">
      <c r="A113" s="17" t="n"/>
      <c r="B113" s="17">
        <f>IF(A113="","",IFERROR(VLOOKUP(A113,Notificações!$A:$B,2,FALSE),"ID não encontrado"))</f>
        <v/>
      </c>
      <c r="C113" s="17" t="n"/>
      <c r="D113" s="17" t="n"/>
      <c r="E113" s="17">
        <f>IF(D113="","",IFERROR(VLOOKUP(D113,Catálogo!$A:$D,2,FALSE),"Código não está no Catálogo"))</f>
        <v/>
      </c>
      <c r="F113" s="17">
        <f>IF(D113="","",IFERROR(VLOOKUP(D113,Catálogo!$A:$D,4,FALSE),""))</f>
        <v/>
      </c>
      <c r="G113" s="17" t="n"/>
      <c r="H113" s="17">
        <f>IF(D113="",0,IF(COUNTIFS($A$2:A113,A113,$D$2:D113,D113)=1,1,0))</f>
        <v/>
      </c>
      <c r="I113" s="17" t="n"/>
      <c r="J113" s="17" t="n"/>
      <c r="K113" s="18" t="n"/>
      <c r="L113" s="17" t="n"/>
      <c r="M113">
        <f>IF(AND(B113&lt;&gt;"",B113='Por empresa'!$B$2),COUNTIF($B$2:B113,'Por empresa'!$B$2),"")</f>
        <v/>
      </c>
    </row>
    <row r="114">
      <c r="A114" s="17" t="n"/>
      <c r="B114" s="17">
        <f>IF(A114="","",IFERROR(VLOOKUP(A114,Notificações!$A:$B,2,FALSE),"ID não encontrado"))</f>
        <v/>
      </c>
      <c r="C114" s="17" t="n"/>
      <c r="D114" s="17" t="n"/>
      <c r="E114" s="17">
        <f>IF(D114="","",IFERROR(VLOOKUP(D114,Catálogo!$A:$D,2,FALSE),"Código não está no Catálogo"))</f>
        <v/>
      </c>
      <c r="F114" s="17">
        <f>IF(D114="","",IFERROR(VLOOKUP(D114,Catálogo!$A:$D,4,FALSE),""))</f>
        <v/>
      </c>
      <c r="G114" s="17" t="n"/>
      <c r="H114" s="17">
        <f>IF(D114="",0,IF(COUNTIFS($A$2:A114,A114,$D$2:D114,D114)=1,1,0))</f>
        <v/>
      </c>
      <c r="I114" s="17" t="n"/>
      <c r="J114" s="17" t="n"/>
      <c r="K114" s="18" t="n"/>
      <c r="L114" s="17" t="n"/>
      <c r="M114">
        <f>IF(AND(B114&lt;&gt;"",B114='Por empresa'!$B$2),COUNTIF($B$2:B114,'Por empresa'!$B$2),"")</f>
        <v/>
      </c>
    </row>
    <row r="115">
      <c r="A115" s="17" t="n"/>
      <c r="B115" s="17">
        <f>IF(A115="","",IFERROR(VLOOKUP(A115,Notificações!$A:$B,2,FALSE),"ID não encontrado"))</f>
        <v/>
      </c>
      <c r="C115" s="17" t="n"/>
      <c r="D115" s="17" t="n"/>
      <c r="E115" s="17">
        <f>IF(D115="","",IFERROR(VLOOKUP(D115,Catálogo!$A:$D,2,FALSE),"Código não está no Catálogo"))</f>
        <v/>
      </c>
      <c r="F115" s="17">
        <f>IF(D115="","",IFERROR(VLOOKUP(D115,Catálogo!$A:$D,4,FALSE),""))</f>
        <v/>
      </c>
      <c r="G115" s="17" t="n"/>
      <c r="H115" s="17">
        <f>IF(D115="",0,IF(COUNTIFS($A$2:A115,A115,$D$2:D115,D115)=1,1,0))</f>
        <v/>
      </c>
      <c r="I115" s="17" t="n"/>
      <c r="J115" s="17" t="n"/>
      <c r="K115" s="18" t="n"/>
      <c r="L115" s="17" t="n"/>
      <c r="M115">
        <f>IF(AND(B115&lt;&gt;"",B115='Por empresa'!$B$2),COUNTIF($B$2:B115,'Por empresa'!$B$2),"")</f>
        <v/>
      </c>
    </row>
    <row r="116">
      <c r="A116" s="17" t="n"/>
      <c r="B116" s="17">
        <f>IF(A116="","",IFERROR(VLOOKUP(A116,Notificações!$A:$B,2,FALSE),"ID não encontrado"))</f>
        <v/>
      </c>
      <c r="C116" s="17" t="n"/>
      <c r="D116" s="17" t="n"/>
      <c r="E116" s="17">
        <f>IF(D116="","",IFERROR(VLOOKUP(D116,Catálogo!$A:$D,2,FALSE),"Código não está no Catálogo"))</f>
        <v/>
      </c>
      <c r="F116" s="17">
        <f>IF(D116="","",IFERROR(VLOOKUP(D116,Catálogo!$A:$D,4,FALSE),""))</f>
        <v/>
      </c>
      <c r="G116" s="17" t="n"/>
      <c r="H116" s="17">
        <f>IF(D116="",0,IF(COUNTIFS($A$2:A116,A116,$D$2:D116,D116)=1,1,0))</f>
        <v/>
      </c>
      <c r="I116" s="17" t="n"/>
      <c r="J116" s="17" t="n"/>
      <c r="K116" s="18" t="n"/>
      <c r="L116" s="17" t="n"/>
      <c r="M116">
        <f>IF(AND(B116&lt;&gt;"",B116='Por empresa'!$B$2),COUNTIF($B$2:B116,'Por empresa'!$B$2),"")</f>
        <v/>
      </c>
    </row>
    <row r="117">
      <c r="A117" s="17" t="n"/>
      <c r="B117" s="17">
        <f>IF(A117="","",IFERROR(VLOOKUP(A117,Notificações!$A:$B,2,FALSE),"ID não encontrado"))</f>
        <v/>
      </c>
      <c r="C117" s="17" t="n"/>
      <c r="D117" s="17" t="n"/>
      <c r="E117" s="17">
        <f>IF(D117="","",IFERROR(VLOOKUP(D117,Catálogo!$A:$D,2,FALSE),"Código não está no Catálogo"))</f>
        <v/>
      </c>
      <c r="F117" s="17">
        <f>IF(D117="","",IFERROR(VLOOKUP(D117,Catálogo!$A:$D,4,FALSE),""))</f>
        <v/>
      </c>
      <c r="G117" s="17" t="n"/>
      <c r="H117" s="17">
        <f>IF(D117="",0,IF(COUNTIFS($A$2:A117,A117,$D$2:D117,D117)=1,1,0))</f>
        <v/>
      </c>
      <c r="I117" s="17" t="n"/>
      <c r="J117" s="17" t="n"/>
      <c r="K117" s="18" t="n"/>
      <c r="L117" s="17" t="n"/>
      <c r="M117">
        <f>IF(AND(B117&lt;&gt;"",B117='Por empresa'!$B$2),COUNTIF($B$2:B117,'Por empresa'!$B$2),"")</f>
        <v/>
      </c>
    </row>
    <row r="118">
      <c r="A118" s="17" t="n"/>
      <c r="B118" s="17">
        <f>IF(A118="","",IFERROR(VLOOKUP(A118,Notificações!$A:$B,2,FALSE),"ID não encontrado"))</f>
        <v/>
      </c>
      <c r="C118" s="17" t="n"/>
      <c r="D118" s="17" t="n"/>
      <c r="E118" s="17">
        <f>IF(D118="","",IFERROR(VLOOKUP(D118,Catálogo!$A:$D,2,FALSE),"Código não está no Catálogo"))</f>
        <v/>
      </c>
      <c r="F118" s="17">
        <f>IF(D118="","",IFERROR(VLOOKUP(D118,Catálogo!$A:$D,4,FALSE),""))</f>
        <v/>
      </c>
      <c r="G118" s="17" t="n"/>
      <c r="H118" s="17">
        <f>IF(D118="",0,IF(COUNTIFS($A$2:A118,A118,$D$2:D118,D118)=1,1,0))</f>
        <v/>
      </c>
      <c r="I118" s="17" t="n"/>
      <c r="J118" s="17" t="n"/>
      <c r="K118" s="18" t="n"/>
      <c r="L118" s="17" t="n"/>
      <c r="M118">
        <f>IF(AND(B118&lt;&gt;"",B118='Por empresa'!$B$2),COUNTIF($B$2:B118,'Por empresa'!$B$2),"")</f>
        <v/>
      </c>
    </row>
    <row r="119">
      <c r="A119" s="17" t="n"/>
      <c r="B119" s="17">
        <f>IF(A119="","",IFERROR(VLOOKUP(A119,Notificações!$A:$B,2,FALSE),"ID não encontrado"))</f>
        <v/>
      </c>
      <c r="C119" s="17" t="n"/>
      <c r="D119" s="17" t="n"/>
      <c r="E119" s="17">
        <f>IF(D119="","",IFERROR(VLOOKUP(D119,Catálogo!$A:$D,2,FALSE),"Código não está no Catálogo"))</f>
        <v/>
      </c>
      <c r="F119" s="17">
        <f>IF(D119="","",IFERROR(VLOOKUP(D119,Catálogo!$A:$D,4,FALSE),""))</f>
        <v/>
      </c>
      <c r="G119" s="17" t="n"/>
      <c r="H119" s="17">
        <f>IF(D119="",0,IF(COUNTIFS($A$2:A119,A119,$D$2:D119,D119)=1,1,0))</f>
        <v/>
      </c>
      <c r="I119" s="17" t="n"/>
      <c r="J119" s="17" t="n"/>
      <c r="K119" s="18" t="n"/>
      <c r="L119" s="17" t="n"/>
      <c r="M119">
        <f>IF(AND(B119&lt;&gt;"",B119='Por empresa'!$B$2),COUNTIF($B$2:B119,'Por empresa'!$B$2),"")</f>
        <v/>
      </c>
    </row>
    <row r="120">
      <c r="A120" s="17" t="n"/>
      <c r="B120" s="17">
        <f>IF(A120="","",IFERROR(VLOOKUP(A120,Notificações!$A:$B,2,FALSE),"ID não encontrado"))</f>
        <v/>
      </c>
      <c r="C120" s="17" t="n"/>
      <c r="D120" s="17" t="n"/>
      <c r="E120" s="17">
        <f>IF(D120="","",IFERROR(VLOOKUP(D120,Catálogo!$A:$D,2,FALSE),"Código não está no Catálogo"))</f>
        <v/>
      </c>
      <c r="F120" s="17">
        <f>IF(D120="","",IFERROR(VLOOKUP(D120,Catálogo!$A:$D,4,FALSE),""))</f>
        <v/>
      </c>
      <c r="G120" s="17" t="n"/>
      <c r="H120" s="17">
        <f>IF(D120="",0,IF(COUNTIFS($A$2:A120,A120,$D$2:D120,D120)=1,1,0))</f>
        <v/>
      </c>
      <c r="I120" s="17" t="n"/>
      <c r="J120" s="17" t="n"/>
      <c r="K120" s="18" t="n"/>
      <c r="L120" s="17" t="n"/>
      <c r="M120">
        <f>IF(AND(B120&lt;&gt;"",B120='Por empresa'!$B$2),COUNTIF($B$2:B120,'Por empresa'!$B$2),"")</f>
        <v/>
      </c>
    </row>
    <row r="121">
      <c r="A121" s="17" t="n"/>
      <c r="B121" s="17">
        <f>IF(A121="","",IFERROR(VLOOKUP(A121,Notificações!$A:$B,2,FALSE),"ID não encontrado"))</f>
        <v/>
      </c>
      <c r="C121" s="17" t="n"/>
      <c r="D121" s="17" t="n"/>
      <c r="E121" s="17">
        <f>IF(D121="","",IFERROR(VLOOKUP(D121,Catálogo!$A:$D,2,FALSE),"Código não está no Catálogo"))</f>
        <v/>
      </c>
      <c r="F121" s="17">
        <f>IF(D121="","",IFERROR(VLOOKUP(D121,Catálogo!$A:$D,4,FALSE),""))</f>
        <v/>
      </c>
      <c r="G121" s="17" t="n"/>
      <c r="H121" s="17">
        <f>IF(D121="",0,IF(COUNTIFS($A$2:A121,A121,$D$2:D121,D121)=1,1,0))</f>
        <v/>
      </c>
      <c r="I121" s="17" t="n"/>
      <c r="J121" s="17" t="n"/>
      <c r="K121" s="18" t="n"/>
      <c r="L121" s="17" t="n"/>
      <c r="M121">
        <f>IF(AND(B121&lt;&gt;"",B121='Por empresa'!$B$2),COUNTIF($B$2:B121,'Por empresa'!$B$2),"")</f>
        <v/>
      </c>
    </row>
    <row r="122">
      <c r="A122" s="17" t="n"/>
      <c r="B122" s="17">
        <f>IF(A122="","",IFERROR(VLOOKUP(A122,Notificações!$A:$B,2,FALSE),"ID não encontrado"))</f>
        <v/>
      </c>
      <c r="C122" s="17" t="n"/>
      <c r="D122" s="17" t="n"/>
      <c r="E122" s="17">
        <f>IF(D122="","",IFERROR(VLOOKUP(D122,Catálogo!$A:$D,2,FALSE),"Código não está no Catálogo"))</f>
        <v/>
      </c>
      <c r="F122" s="17">
        <f>IF(D122="","",IFERROR(VLOOKUP(D122,Catálogo!$A:$D,4,FALSE),""))</f>
        <v/>
      </c>
      <c r="G122" s="17" t="n"/>
      <c r="H122" s="17">
        <f>IF(D122="",0,IF(COUNTIFS($A$2:A122,A122,$D$2:D122,D122)=1,1,0))</f>
        <v/>
      </c>
      <c r="I122" s="17" t="n"/>
      <c r="J122" s="17" t="n"/>
      <c r="K122" s="18" t="n"/>
      <c r="L122" s="17" t="n"/>
      <c r="M122">
        <f>IF(AND(B122&lt;&gt;"",B122='Por empresa'!$B$2),COUNTIF($B$2:B122,'Por empresa'!$B$2),"")</f>
        <v/>
      </c>
    </row>
    <row r="123">
      <c r="A123" s="17" t="n"/>
      <c r="B123" s="17">
        <f>IF(A123="","",IFERROR(VLOOKUP(A123,Notificações!$A:$B,2,FALSE),"ID não encontrado"))</f>
        <v/>
      </c>
      <c r="C123" s="17" t="n"/>
      <c r="D123" s="17" t="n"/>
      <c r="E123" s="17">
        <f>IF(D123="","",IFERROR(VLOOKUP(D123,Catálogo!$A:$D,2,FALSE),"Código não está no Catálogo"))</f>
        <v/>
      </c>
      <c r="F123" s="17">
        <f>IF(D123="","",IFERROR(VLOOKUP(D123,Catálogo!$A:$D,4,FALSE),""))</f>
        <v/>
      </c>
      <c r="G123" s="17" t="n"/>
      <c r="H123" s="17">
        <f>IF(D123="",0,IF(COUNTIFS($A$2:A123,A123,$D$2:D123,D123)=1,1,0))</f>
        <v/>
      </c>
      <c r="I123" s="17" t="n"/>
      <c r="J123" s="17" t="n"/>
      <c r="K123" s="18" t="n"/>
      <c r="L123" s="17" t="n"/>
      <c r="M123">
        <f>IF(AND(B123&lt;&gt;"",B123='Por empresa'!$B$2),COUNTIF($B$2:B123,'Por empresa'!$B$2),"")</f>
        <v/>
      </c>
    </row>
    <row r="124">
      <c r="A124" s="17" t="n"/>
      <c r="B124" s="17">
        <f>IF(A124="","",IFERROR(VLOOKUP(A124,Notificações!$A:$B,2,FALSE),"ID não encontrado"))</f>
        <v/>
      </c>
      <c r="C124" s="17" t="n"/>
      <c r="D124" s="17" t="n"/>
      <c r="E124" s="17">
        <f>IF(D124="","",IFERROR(VLOOKUP(D124,Catálogo!$A:$D,2,FALSE),"Código não está no Catálogo"))</f>
        <v/>
      </c>
      <c r="F124" s="17">
        <f>IF(D124="","",IFERROR(VLOOKUP(D124,Catálogo!$A:$D,4,FALSE),""))</f>
        <v/>
      </c>
      <c r="G124" s="17" t="n"/>
      <c r="H124" s="17">
        <f>IF(D124="",0,IF(COUNTIFS($A$2:A124,A124,$D$2:D124,D124)=1,1,0))</f>
        <v/>
      </c>
      <c r="I124" s="17" t="n"/>
      <c r="J124" s="17" t="n"/>
      <c r="K124" s="18" t="n"/>
      <c r="L124" s="17" t="n"/>
      <c r="M124">
        <f>IF(AND(B124&lt;&gt;"",B124='Por empresa'!$B$2),COUNTIF($B$2:B124,'Por empresa'!$B$2),"")</f>
        <v/>
      </c>
    </row>
    <row r="125">
      <c r="A125" s="17" t="n"/>
      <c r="B125" s="17">
        <f>IF(A125="","",IFERROR(VLOOKUP(A125,Notificações!$A:$B,2,FALSE),"ID não encontrado"))</f>
        <v/>
      </c>
      <c r="C125" s="17" t="n"/>
      <c r="D125" s="17" t="n"/>
      <c r="E125" s="17">
        <f>IF(D125="","",IFERROR(VLOOKUP(D125,Catálogo!$A:$D,2,FALSE),"Código não está no Catálogo"))</f>
        <v/>
      </c>
      <c r="F125" s="17">
        <f>IF(D125="","",IFERROR(VLOOKUP(D125,Catálogo!$A:$D,4,FALSE),""))</f>
        <v/>
      </c>
      <c r="G125" s="17" t="n"/>
      <c r="H125" s="17">
        <f>IF(D125="",0,IF(COUNTIFS($A$2:A125,A125,$D$2:D125,D125)=1,1,0))</f>
        <v/>
      </c>
      <c r="I125" s="17" t="n"/>
      <c r="J125" s="17" t="n"/>
      <c r="K125" s="18" t="n"/>
      <c r="L125" s="17" t="n"/>
      <c r="M125">
        <f>IF(AND(B125&lt;&gt;"",B125='Por empresa'!$B$2),COUNTIF($B$2:B125,'Por empresa'!$B$2),"")</f>
        <v/>
      </c>
    </row>
    <row r="126">
      <c r="A126" s="17" t="n"/>
      <c r="B126" s="17">
        <f>IF(A126="","",IFERROR(VLOOKUP(A126,Notificações!$A:$B,2,FALSE),"ID não encontrado"))</f>
        <v/>
      </c>
      <c r="C126" s="17" t="n"/>
      <c r="D126" s="17" t="n"/>
      <c r="E126" s="17">
        <f>IF(D126="","",IFERROR(VLOOKUP(D126,Catálogo!$A:$D,2,FALSE),"Código não está no Catálogo"))</f>
        <v/>
      </c>
      <c r="F126" s="17">
        <f>IF(D126="","",IFERROR(VLOOKUP(D126,Catálogo!$A:$D,4,FALSE),""))</f>
        <v/>
      </c>
      <c r="G126" s="17" t="n"/>
      <c r="H126" s="17">
        <f>IF(D126="",0,IF(COUNTIFS($A$2:A126,A126,$D$2:D126,D126)=1,1,0))</f>
        <v/>
      </c>
      <c r="I126" s="17" t="n"/>
      <c r="J126" s="17" t="n"/>
      <c r="K126" s="18" t="n"/>
      <c r="L126" s="17" t="n"/>
      <c r="M126">
        <f>IF(AND(B126&lt;&gt;"",B126='Por empresa'!$B$2),COUNTIF($B$2:B126,'Por empresa'!$B$2),"")</f>
        <v/>
      </c>
    </row>
    <row r="127">
      <c r="A127" s="17" t="n"/>
      <c r="B127" s="17">
        <f>IF(A127="","",IFERROR(VLOOKUP(A127,Notificações!$A:$B,2,FALSE),"ID não encontrado"))</f>
        <v/>
      </c>
      <c r="C127" s="17" t="n"/>
      <c r="D127" s="17" t="n"/>
      <c r="E127" s="17">
        <f>IF(D127="","",IFERROR(VLOOKUP(D127,Catálogo!$A:$D,2,FALSE),"Código não está no Catálogo"))</f>
        <v/>
      </c>
      <c r="F127" s="17">
        <f>IF(D127="","",IFERROR(VLOOKUP(D127,Catálogo!$A:$D,4,FALSE),""))</f>
        <v/>
      </c>
      <c r="G127" s="17" t="n"/>
      <c r="H127" s="17">
        <f>IF(D127="",0,IF(COUNTIFS($A$2:A127,A127,$D$2:D127,D127)=1,1,0))</f>
        <v/>
      </c>
      <c r="I127" s="17" t="n"/>
      <c r="J127" s="17" t="n"/>
      <c r="K127" s="18" t="n"/>
      <c r="L127" s="17" t="n"/>
      <c r="M127">
        <f>IF(AND(B127&lt;&gt;"",B127='Por empresa'!$B$2),COUNTIF($B$2:B127,'Por empresa'!$B$2),"")</f>
        <v/>
      </c>
    </row>
    <row r="128">
      <c r="A128" s="17" t="n"/>
      <c r="B128" s="17">
        <f>IF(A128="","",IFERROR(VLOOKUP(A128,Notificações!$A:$B,2,FALSE),"ID não encontrado"))</f>
        <v/>
      </c>
      <c r="C128" s="17" t="n"/>
      <c r="D128" s="17" t="n"/>
      <c r="E128" s="17">
        <f>IF(D128="","",IFERROR(VLOOKUP(D128,Catálogo!$A:$D,2,FALSE),"Código não está no Catálogo"))</f>
        <v/>
      </c>
      <c r="F128" s="17">
        <f>IF(D128="","",IFERROR(VLOOKUP(D128,Catálogo!$A:$D,4,FALSE),""))</f>
        <v/>
      </c>
      <c r="G128" s="17" t="n"/>
      <c r="H128" s="17">
        <f>IF(D128="",0,IF(COUNTIFS($A$2:A128,A128,$D$2:D128,D128)=1,1,0))</f>
        <v/>
      </c>
      <c r="I128" s="17" t="n"/>
      <c r="J128" s="17" t="n"/>
      <c r="K128" s="18" t="n"/>
      <c r="L128" s="17" t="n"/>
      <c r="M128">
        <f>IF(AND(B128&lt;&gt;"",B128='Por empresa'!$B$2),COUNTIF($B$2:B128,'Por empresa'!$B$2),"")</f>
        <v/>
      </c>
    </row>
    <row r="129">
      <c r="A129" s="17" t="n"/>
      <c r="B129" s="17">
        <f>IF(A129="","",IFERROR(VLOOKUP(A129,Notificações!$A:$B,2,FALSE),"ID não encontrado"))</f>
        <v/>
      </c>
      <c r="C129" s="17" t="n"/>
      <c r="D129" s="17" t="n"/>
      <c r="E129" s="17">
        <f>IF(D129="","",IFERROR(VLOOKUP(D129,Catálogo!$A:$D,2,FALSE),"Código não está no Catálogo"))</f>
        <v/>
      </c>
      <c r="F129" s="17">
        <f>IF(D129="","",IFERROR(VLOOKUP(D129,Catálogo!$A:$D,4,FALSE),""))</f>
        <v/>
      </c>
      <c r="G129" s="17" t="n"/>
      <c r="H129" s="17">
        <f>IF(D129="",0,IF(COUNTIFS($A$2:A129,A129,$D$2:D129,D129)=1,1,0))</f>
        <v/>
      </c>
      <c r="I129" s="17" t="n"/>
      <c r="J129" s="17" t="n"/>
      <c r="K129" s="18" t="n"/>
      <c r="L129" s="17" t="n"/>
      <c r="M129">
        <f>IF(AND(B129&lt;&gt;"",B129='Por empresa'!$B$2),COUNTIF($B$2:B129,'Por empresa'!$B$2),"")</f>
        <v/>
      </c>
    </row>
    <row r="130">
      <c r="A130" s="17" t="n"/>
      <c r="B130" s="17">
        <f>IF(A130="","",IFERROR(VLOOKUP(A130,Notificações!$A:$B,2,FALSE),"ID não encontrado"))</f>
        <v/>
      </c>
      <c r="C130" s="17" t="n"/>
      <c r="D130" s="17" t="n"/>
      <c r="E130" s="17">
        <f>IF(D130="","",IFERROR(VLOOKUP(D130,Catálogo!$A:$D,2,FALSE),"Código não está no Catálogo"))</f>
        <v/>
      </c>
      <c r="F130" s="17">
        <f>IF(D130="","",IFERROR(VLOOKUP(D130,Catálogo!$A:$D,4,FALSE),""))</f>
        <v/>
      </c>
      <c r="G130" s="17" t="n"/>
      <c r="H130" s="17">
        <f>IF(D130="",0,IF(COUNTIFS($A$2:A130,A130,$D$2:D130,D130)=1,1,0))</f>
        <v/>
      </c>
      <c r="I130" s="17" t="n"/>
      <c r="J130" s="17" t="n"/>
      <c r="K130" s="18" t="n"/>
      <c r="L130" s="17" t="n"/>
      <c r="M130">
        <f>IF(AND(B130&lt;&gt;"",B130='Por empresa'!$B$2),COUNTIF($B$2:B130,'Por empresa'!$B$2),"")</f>
        <v/>
      </c>
    </row>
    <row r="131">
      <c r="A131" s="17" t="n"/>
      <c r="B131" s="17">
        <f>IF(A131="","",IFERROR(VLOOKUP(A131,Notificações!$A:$B,2,FALSE),"ID não encontrado"))</f>
        <v/>
      </c>
      <c r="C131" s="17" t="n"/>
      <c r="D131" s="17" t="n"/>
      <c r="E131" s="17">
        <f>IF(D131="","",IFERROR(VLOOKUP(D131,Catálogo!$A:$D,2,FALSE),"Código não está no Catálogo"))</f>
        <v/>
      </c>
      <c r="F131" s="17">
        <f>IF(D131="","",IFERROR(VLOOKUP(D131,Catálogo!$A:$D,4,FALSE),""))</f>
        <v/>
      </c>
      <c r="G131" s="17" t="n"/>
      <c r="H131" s="17">
        <f>IF(D131="",0,IF(COUNTIFS($A$2:A131,A131,$D$2:D131,D131)=1,1,0))</f>
        <v/>
      </c>
      <c r="I131" s="17" t="n"/>
      <c r="J131" s="17" t="n"/>
      <c r="K131" s="18" t="n"/>
      <c r="L131" s="17" t="n"/>
      <c r="M131">
        <f>IF(AND(B131&lt;&gt;"",B131='Por empresa'!$B$2),COUNTIF($B$2:B131,'Por empresa'!$B$2),"")</f>
        <v/>
      </c>
    </row>
    <row r="132">
      <c r="A132" s="17" t="n"/>
      <c r="B132" s="17">
        <f>IF(A132="","",IFERROR(VLOOKUP(A132,Notificações!$A:$B,2,FALSE),"ID não encontrado"))</f>
        <v/>
      </c>
      <c r="C132" s="17" t="n"/>
      <c r="D132" s="17" t="n"/>
      <c r="E132" s="17">
        <f>IF(D132="","",IFERROR(VLOOKUP(D132,Catálogo!$A:$D,2,FALSE),"Código não está no Catálogo"))</f>
        <v/>
      </c>
      <c r="F132" s="17">
        <f>IF(D132="","",IFERROR(VLOOKUP(D132,Catálogo!$A:$D,4,FALSE),""))</f>
        <v/>
      </c>
      <c r="G132" s="17" t="n"/>
      <c r="H132" s="17">
        <f>IF(D132="",0,IF(COUNTIFS($A$2:A132,A132,$D$2:D132,D132)=1,1,0))</f>
        <v/>
      </c>
      <c r="I132" s="17" t="n"/>
      <c r="J132" s="17" t="n"/>
      <c r="K132" s="18" t="n"/>
      <c r="L132" s="17" t="n"/>
      <c r="M132">
        <f>IF(AND(B132&lt;&gt;"",B132='Por empresa'!$B$2),COUNTIF($B$2:B132,'Por empresa'!$B$2),"")</f>
        <v/>
      </c>
    </row>
    <row r="133">
      <c r="A133" s="17" t="n"/>
      <c r="B133" s="17">
        <f>IF(A133="","",IFERROR(VLOOKUP(A133,Notificações!$A:$B,2,FALSE),"ID não encontrado"))</f>
        <v/>
      </c>
      <c r="C133" s="17" t="n"/>
      <c r="D133" s="17" t="n"/>
      <c r="E133" s="17">
        <f>IF(D133="","",IFERROR(VLOOKUP(D133,Catálogo!$A:$D,2,FALSE),"Código não está no Catálogo"))</f>
        <v/>
      </c>
      <c r="F133" s="17">
        <f>IF(D133="","",IFERROR(VLOOKUP(D133,Catálogo!$A:$D,4,FALSE),""))</f>
        <v/>
      </c>
      <c r="G133" s="17" t="n"/>
      <c r="H133" s="17">
        <f>IF(D133="",0,IF(COUNTIFS($A$2:A133,A133,$D$2:D133,D133)=1,1,0))</f>
        <v/>
      </c>
      <c r="I133" s="17" t="n"/>
      <c r="J133" s="17" t="n"/>
      <c r="K133" s="18" t="n"/>
      <c r="L133" s="17" t="n"/>
      <c r="M133">
        <f>IF(AND(B133&lt;&gt;"",B133='Por empresa'!$B$2),COUNTIF($B$2:B133,'Por empresa'!$B$2),"")</f>
        <v/>
      </c>
    </row>
    <row r="134">
      <c r="A134" s="17" t="n"/>
      <c r="B134" s="17">
        <f>IF(A134="","",IFERROR(VLOOKUP(A134,Notificações!$A:$B,2,FALSE),"ID não encontrado"))</f>
        <v/>
      </c>
      <c r="C134" s="17" t="n"/>
      <c r="D134" s="17" t="n"/>
      <c r="E134" s="17">
        <f>IF(D134="","",IFERROR(VLOOKUP(D134,Catálogo!$A:$D,2,FALSE),"Código não está no Catálogo"))</f>
        <v/>
      </c>
      <c r="F134" s="17">
        <f>IF(D134="","",IFERROR(VLOOKUP(D134,Catálogo!$A:$D,4,FALSE),""))</f>
        <v/>
      </c>
      <c r="G134" s="17" t="n"/>
      <c r="H134" s="17">
        <f>IF(D134="",0,IF(COUNTIFS($A$2:A134,A134,$D$2:D134,D134)=1,1,0))</f>
        <v/>
      </c>
      <c r="I134" s="17" t="n"/>
      <c r="J134" s="17" t="n"/>
      <c r="K134" s="18" t="n"/>
      <c r="L134" s="17" t="n"/>
      <c r="M134">
        <f>IF(AND(B134&lt;&gt;"",B134='Por empresa'!$B$2),COUNTIF($B$2:B134,'Por empresa'!$B$2),"")</f>
        <v/>
      </c>
    </row>
    <row r="135">
      <c r="A135" s="17" t="n"/>
      <c r="B135" s="17">
        <f>IF(A135="","",IFERROR(VLOOKUP(A135,Notificações!$A:$B,2,FALSE),"ID não encontrado"))</f>
        <v/>
      </c>
      <c r="C135" s="17" t="n"/>
      <c r="D135" s="17" t="n"/>
      <c r="E135" s="17">
        <f>IF(D135="","",IFERROR(VLOOKUP(D135,Catálogo!$A:$D,2,FALSE),"Código não está no Catálogo"))</f>
        <v/>
      </c>
      <c r="F135" s="17">
        <f>IF(D135="","",IFERROR(VLOOKUP(D135,Catálogo!$A:$D,4,FALSE),""))</f>
        <v/>
      </c>
      <c r="G135" s="17" t="n"/>
      <c r="H135" s="17">
        <f>IF(D135="",0,IF(COUNTIFS($A$2:A135,A135,$D$2:D135,D135)=1,1,0))</f>
        <v/>
      </c>
      <c r="I135" s="17" t="n"/>
      <c r="J135" s="17" t="n"/>
      <c r="K135" s="18" t="n"/>
      <c r="L135" s="17" t="n"/>
      <c r="M135">
        <f>IF(AND(B135&lt;&gt;"",B135='Por empresa'!$B$2),COUNTIF($B$2:B135,'Por empresa'!$B$2),"")</f>
        <v/>
      </c>
    </row>
    <row r="136">
      <c r="A136" s="17" t="n"/>
      <c r="B136" s="17">
        <f>IF(A136="","",IFERROR(VLOOKUP(A136,Notificações!$A:$B,2,FALSE),"ID não encontrado"))</f>
        <v/>
      </c>
      <c r="C136" s="17" t="n"/>
      <c r="D136" s="17" t="n"/>
      <c r="E136" s="17">
        <f>IF(D136="","",IFERROR(VLOOKUP(D136,Catálogo!$A:$D,2,FALSE),"Código não está no Catálogo"))</f>
        <v/>
      </c>
      <c r="F136" s="17">
        <f>IF(D136="","",IFERROR(VLOOKUP(D136,Catálogo!$A:$D,4,FALSE),""))</f>
        <v/>
      </c>
      <c r="G136" s="17" t="n"/>
      <c r="H136" s="17">
        <f>IF(D136="",0,IF(COUNTIFS($A$2:A136,A136,$D$2:D136,D136)=1,1,0))</f>
        <v/>
      </c>
      <c r="I136" s="17" t="n"/>
      <c r="J136" s="17" t="n"/>
      <c r="K136" s="18" t="n"/>
      <c r="L136" s="17" t="n"/>
      <c r="M136">
        <f>IF(AND(B136&lt;&gt;"",B136='Por empresa'!$B$2),COUNTIF($B$2:B136,'Por empresa'!$B$2),"")</f>
        <v/>
      </c>
    </row>
    <row r="137">
      <c r="A137" s="17" t="n"/>
      <c r="B137" s="17">
        <f>IF(A137="","",IFERROR(VLOOKUP(A137,Notificações!$A:$B,2,FALSE),"ID não encontrado"))</f>
        <v/>
      </c>
      <c r="C137" s="17" t="n"/>
      <c r="D137" s="17" t="n"/>
      <c r="E137" s="17">
        <f>IF(D137="","",IFERROR(VLOOKUP(D137,Catálogo!$A:$D,2,FALSE),"Código não está no Catálogo"))</f>
        <v/>
      </c>
      <c r="F137" s="17">
        <f>IF(D137="","",IFERROR(VLOOKUP(D137,Catálogo!$A:$D,4,FALSE),""))</f>
        <v/>
      </c>
      <c r="G137" s="17" t="n"/>
      <c r="H137" s="17">
        <f>IF(D137="",0,IF(COUNTIFS($A$2:A137,A137,$D$2:D137,D137)=1,1,0))</f>
        <v/>
      </c>
      <c r="I137" s="17" t="n"/>
      <c r="J137" s="17" t="n"/>
      <c r="K137" s="18" t="n"/>
      <c r="L137" s="17" t="n"/>
      <c r="M137">
        <f>IF(AND(B137&lt;&gt;"",B137='Por empresa'!$B$2),COUNTIF($B$2:B137,'Por empresa'!$B$2),"")</f>
        <v/>
      </c>
    </row>
    <row r="138">
      <c r="A138" s="17" t="n"/>
      <c r="B138" s="17">
        <f>IF(A138="","",IFERROR(VLOOKUP(A138,Notificações!$A:$B,2,FALSE),"ID não encontrado"))</f>
        <v/>
      </c>
      <c r="C138" s="17" t="n"/>
      <c r="D138" s="17" t="n"/>
      <c r="E138" s="17">
        <f>IF(D138="","",IFERROR(VLOOKUP(D138,Catálogo!$A:$D,2,FALSE),"Código não está no Catálogo"))</f>
        <v/>
      </c>
      <c r="F138" s="17">
        <f>IF(D138="","",IFERROR(VLOOKUP(D138,Catálogo!$A:$D,4,FALSE),""))</f>
        <v/>
      </c>
      <c r="G138" s="17" t="n"/>
      <c r="H138" s="17">
        <f>IF(D138="",0,IF(COUNTIFS($A$2:A138,A138,$D$2:D138,D138)=1,1,0))</f>
        <v/>
      </c>
      <c r="I138" s="17" t="n"/>
      <c r="J138" s="17" t="n"/>
      <c r="K138" s="18" t="n"/>
      <c r="L138" s="17" t="n"/>
      <c r="M138">
        <f>IF(AND(B138&lt;&gt;"",B138='Por empresa'!$B$2),COUNTIF($B$2:B138,'Por empresa'!$B$2),"")</f>
        <v/>
      </c>
    </row>
    <row r="139">
      <c r="A139" s="17" t="n"/>
      <c r="B139" s="17">
        <f>IF(A139="","",IFERROR(VLOOKUP(A139,Notificações!$A:$B,2,FALSE),"ID não encontrado"))</f>
        <v/>
      </c>
      <c r="C139" s="17" t="n"/>
      <c r="D139" s="17" t="n"/>
      <c r="E139" s="17">
        <f>IF(D139="","",IFERROR(VLOOKUP(D139,Catálogo!$A:$D,2,FALSE),"Código não está no Catálogo"))</f>
        <v/>
      </c>
      <c r="F139" s="17">
        <f>IF(D139="","",IFERROR(VLOOKUP(D139,Catálogo!$A:$D,4,FALSE),""))</f>
        <v/>
      </c>
      <c r="G139" s="17" t="n"/>
      <c r="H139" s="17">
        <f>IF(D139="",0,IF(COUNTIFS($A$2:A139,A139,$D$2:D139,D139)=1,1,0))</f>
        <v/>
      </c>
      <c r="I139" s="17" t="n"/>
      <c r="J139" s="17" t="n"/>
      <c r="K139" s="18" t="n"/>
      <c r="L139" s="17" t="n"/>
      <c r="M139">
        <f>IF(AND(B139&lt;&gt;"",B139='Por empresa'!$B$2),COUNTIF($B$2:B139,'Por empresa'!$B$2),"")</f>
        <v/>
      </c>
    </row>
    <row r="140">
      <c r="A140" s="17" t="n"/>
      <c r="B140" s="17">
        <f>IF(A140="","",IFERROR(VLOOKUP(A140,Notificações!$A:$B,2,FALSE),"ID não encontrado"))</f>
        <v/>
      </c>
      <c r="C140" s="17" t="n"/>
      <c r="D140" s="17" t="n"/>
      <c r="E140" s="17">
        <f>IF(D140="","",IFERROR(VLOOKUP(D140,Catálogo!$A:$D,2,FALSE),"Código não está no Catálogo"))</f>
        <v/>
      </c>
      <c r="F140" s="17">
        <f>IF(D140="","",IFERROR(VLOOKUP(D140,Catálogo!$A:$D,4,FALSE),""))</f>
        <v/>
      </c>
      <c r="G140" s="17" t="n"/>
      <c r="H140" s="17">
        <f>IF(D140="",0,IF(COUNTIFS($A$2:A140,A140,$D$2:D140,D140)=1,1,0))</f>
        <v/>
      </c>
      <c r="I140" s="17" t="n"/>
      <c r="J140" s="17" t="n"/>
      <c r="K140" s="18" t="n"/>
      <c r="L140" s="17" t="n"/>
      <c r="M140">
        <f>IF(AND(B140&lt;&gt;"",B140='Por empresa'!$B$2),COUNTIF($B$2:B140,'Por empresa'!$B$2),"")</f>
        <v/>
      </c>
    </row>
    <row r="141">
      <c r="A141" s="17" t="n"/>
      <c r="B141" s="17">
        <f>IF(A141="","",IFERROR(VLOOKUP(A141,Notificações!$A:$B,2,FALSE),"ID não encontrado"))</f>
        <v/>
      </c>
      <c r="C141" s="17" t="n"/>
      <c r="D141" s="17" t="n"/>
      <c r="E141" s="17">
        <f>IF(D141="","",IFERROR(VLOOKUP(D141,Catálogo!$A:$D,2,FALSE),"Código não está no Catálogo"))</f>
        <v/>
      </c>
      <c r="F141" s="17">
        <f>IF(D141="","",IFERROR(VLOOKUP(D141,Catálogo!$A:$D,4,FALSE),""))</f>
        <v/>
      </c>
      <c r="G141" s="17" t="n"/>
      <c r="H141" s="17">
        <f>IF(D141="",0,IF(COUNTIFS($A$2:A141,A141,$D$2:D141,D141)=1,1,0))</f>
        <v/>
      </c>
      <c r="I141" s="17" t="n"/>
      <c r="J141" s="17" t="n"/>
      <c r="K141" s="18" t="n"/>
      <c r="L141" s="17" t="n"/>
      <c r="M141">
        <f>IF(AND(B141&lt;&gt;"",B141='Por empresa'!$B$2),COUNTIF($B$2:B141,'Por empresa'!$B$2),"")</f>
        <v/>
      </c>
    </row>
    <row r="142">
      <c r="A142" s="17" t="n"/>
      <c r="B142" s="17">
        <f>IF(A142="","",IFERROR(VLOOKUP(A142,Notificações!$A:$B,2,FALSE),"ID não encontrado"))</f>
        <v/>
      </c>
      <c r="C142" s="17" t="n"/>
      <c r="D142" s="17" t="n"/>
      <c r="E142" s="17">
        <f>IF(D142="","",IFERROR(VLOOKUP(D142,Catálogo!$A:$D,2,FALSE),"Código não está no Catálogo"))</f>
        <v/>
      </c>
      <c r="F142" s="17">
        <f>IF(D142="","",IFERROR(VLOOKUP(D142,Catálogo!$A:$D,4,FALSE),""))</f>
        <v/>
      </c>
      <c r="G142" s="17" t="n"/>
      <c r="H142" s="17">
        <f>IF(D142="",0,IF(COUNTIFS($A$2:A142,A142,$D$2:D142,D142)=1,1,0))</f>
        <v/>
      </c>
      <c r="I142" s="17" t="n"/>
      <c r="J142" s="17" t="n"/>
      <c r="K142" s="18" t="n"/>
      <c r="L142" s="17" t="n"/>
      <c r="M142">
        <f>IF(AND(B142&lt;&gt;"",B142='Por empresa'!$B$2),COUNTIF($B$2:B142,'Por empresa'!$B$2),"")</f>
        <v/>
      </c>
    </row>
    <row r="143">
      <c r="A143" s="17" t="n"/>
      <c r="B143" s="17">
        <f>IF(A143="","",IFERROR(VLOOKUP(A143,Notificações!$A:$B,2,FALSE),"ID não encontrado"))</f>
        <v/>
      </c>
      <c r="C143" s="17" t="n"/>
      <c r="D143" s="17" t="n"/>
      <c r="E143" s="17">
        <f>IF(D143="","",IFERROR(VLOOKUP(D143,Catálogo!$A:$D,2,FALSE),"Código não está no Catálogo"))</f>
        <v/>
      </c>
      <c r="F143" s="17">
        <f>IF(D143="","",IFERROR(VLOOKUP(D143,Catálogo!$A:$D,4,FALSE),""))</f>
        <v/>
      </c>
      <c r="G143" s="17" t="n"/>
      <c r="H143" s="17">
        <f>IF(D143="",0,IF(COUNTIFS($A$2:A143,A143,$D$2:D143,D143)=1,1,0))</f>
        <v/>
      </c>
      <c r="I143" s="17" t="n"/>
      <c r="J143" s="17" t="n"/>
      <c r="K143" s="18" t="n"/>
      <c r="L143" s="17" t="n"/>
      <c r="M143">
        <f>IF(AND(B143&lt;&gt;"",B143='Por empresa'!$B$2),COUNTIF($B$2:B143,'Por empresa'!$B$2),"")</f>
        <v/>
      </c>
    </row>
    <row r="144">
      <c r="A144" s="17" t="n"/>
      <c r="B144" s="17">
        <f>IF(A144="","",IFERROR(VLOOKUP(A144,Notificações!$A:$B,2,FALSE),"ID não encontrado"))</f>
        <v/>
      </c>
      <c r="C144" s="17" t="n"/>
      <c r="D144" s="17" t="n"/>
      <c r="E144" s="17">
        <f>IF(D144="","",IFERROR(VLOOKUP(D144,Catálogo!$A:$D,2,FALSE),"Código não está no Catálogo"))</f>
        <v/>
      </c>
      <c r="F144" s="17">
        <f>IF(D144="","",IFERROR(VLOOKUP(D144,Catálogo!$A:$D,4,FALSE),""))</f>
        <v/>
      </c>
      <c r="G144" s="17" t="n"/>
      <c r="H144" s="17">
        <f>IF(D144="",0,IF(COUNTIFS($A$2:A144,A144,$D$2:D144,D144)=1,1,0))</f>
        <v/>
      </c>
      <c r="I144" s="17" t="n"/>
      <c r="J144" s="17" t="n"/>
      <c r="K144" s="18" t="n"/>
      <c r="L144" s="17" t="n"/>
      <c r="M144">
        <f>IF(AND(B144&lt;&gt;"",B144='Por empresa'!$B$2),COUNTIF($B$2:B144,'Por empresa'!$B$2),"")</f>
        <v/>
      </c>
    </row>
    <row r="145">
      <c r="A145" s="17" t="n"/>
      <c r="B145" s="17">
        <f>IF(A145="","",IFERROR(VLOOKUP(A145,Notificações!$A:$B,2,FALSE),"ID não encontrado"))</f>
        <v/>
      </c>
      <c r="C145" s="17" t="n"/>
      <c r="D145" s="17" t="n"/>
      <c r="E145" s="17">
        <f>IF(D145="","",IFERROR(VLOOKUP(D145,Catálogo!$A:$D,2,FALSE),"Código não está no Catálogo"))</f>
        <v/>
      </c>
      <c r="F145" s="17">
        <f>IF(D145="","",IFERROR(VLOOKUP(D145,Catálogo!$A:$D,4,FALSE),""))</f>
        <v/>
      </c>
      <c r="G145" s="17" t="n"/>
      <c r="H145" s="17">
        <f>IF(D145="",0,IF(COUNTIFS($A$2:A145,A145,$D$2:D145,D145)=1,1,0))</f>
        <v/>
      </c>
      <c r="I145" s="17" t="n"/>
      <c r="J145" s="17" t="n"/>
      <c r="K145" s="18" t="n"/>
      <c r="L145" s="17" t="n"/>
      <c r="M145">
        <f>IF(AND(B145&lt;&gt;"",B145='Por empresa'!$B$2),COUNTIF($B$2:B145,'Por empresa'!$B$2),"")</f>
        <v/>
      </c>
    </row>
    <row r="146">
      <c r="A146" s="17" t="n"/>
      <c r="B146" s="17">
        <f>IF(A146="","",IFERROR(VLOOKUP(A146,Notificações!$A:$B,2,FALSE),"ID não encontrado"))</f>
        <v/>
      </c>
      <c r="C146" s="17" t="n"/>
      <c r="D146" s="17" t="n"/>
      <c r="E146" s="17">
        <f>IF(D146="","",IFERROR(VLOOKUP(D146,Catálogo!$A:$D,2,FALSE),"Código não está no Catálogo"))</f>
        <v/>
      </c>
      <c r="F146" s="17">
        <f>IF(D146="","",IFERROR(VLOOKUP(D146,Catálogo!$A:$D,4,FALSE),""))</f>
        <v/>
      </c>
      <c r="G146" s="17" t="n"/>
      <c r="H146" s="17">
        <f>IF(D146="",0,IF(COUNTIFS($A$2:A146,A146,$D$2:D146,D146)=1,1,0))</f>
        <v/>
      </c>
      <c r="I146" s="17" t="n"/>
      <c r="J146" s="17" t="n"/>
      <c r="K146" s="18" t="n"/>
      <c r="L146" s="17" t="n"/>
      <c r="M146">
        <f>IF(AND(B146&lt;&gt;"",B146='Por empresa'!$B$2),COUNTIF($B$2:B146,'Por empresa'!$B$2),"")</f>
        <v/>
      </c>
    </row>
    <row r="147">
      <c r="A147" s="17" t="n"/>
      <c r="B147" s="17">
        <f>IF(A147="","",IFERROR(VLOOKUP(A147,Notificações!$A:$B,2,FALSE),"ID não encontrado"))</f>
        <v/>
      </c>
      <c r="C147" s="17" t="n"/>
      <c r="D147" s="17" t="n"/>
      <c r="E147" s="17">
        <f>IF(D147="","",IFERROR(VLOOKUP(D147,Catálogo!$A:$D,2,FALSE),"Código não está no Catálogo"))</f>
        <v/>
      </c>
      <c r="F147" s="17">
        <f>IF(D147="","",IFERROR(VLOOKUP(D147,Catálogo!$A:$D,4,FALSE),""))</f>
        <v/>
      </c>
      <c r="G147" s="17" t="n"/>
      <c r="H147" s="17">
        <f>IF(D147="",0,IF(COUNTIFS($A$2:A147,A147,$D$2:D147,D147)=1,1,0))</f>
        <v/>
      </c>
      <c r="I147" s="17" t="n"/>
      <c r="J147" s="17" t="n"/>
      <c r="K147" s="18" t="n"/>
      <c r="L147" s="17" t="n"/>
      <c r="M147">
        <f>IF(AND(B147&lt;&gt;"",B147='Por empresa'!$B$2),COUNTIF($B$2:B147,'Por empresa'!$B$2),"")</f>
        <v/>
      </c>
    </row>
    <row r="148">
      <c r="A148" s="17" t="n"/>
      <c r="B148" s="17">
        <f>IF(A148="","",IFERROR(VLOOKUP(A148,Notificações!$A:$B,2,FALSE),"ID não encontrado"))</f>
        <v/>
      </c>
      <c r="C148" s="17" t="n"/>
      <c r="D148" s="17" t="n"/>
      <c r="E148" s="17">
        <f>IF(D148="","",IFERROR(VLOOKUP(D148,Catálogo!$A:$D,2,FALSE),"Código não está no Catálogo"))</f>
        <v/>
      </c>
      <c r="F148" s="17">
        <f>IF(D148="","",IFERROR(VLOOKUP(D148,Catálogo!$A:$D,4,FALSE),""))</f>
        <v/>
      </c>
      <c r="G148" s="17" t="n"/>
      <c r="H148" s="17">
        <f>IF(D148="",0,IF(COUNTIFS($A$2:A148,A148,$D$2:D148,D148)=1,1,0))</f>
        <v/>
      </c>
      <c r="I148" s="17" t="n"/>
      <c r="J148" s="17" t="n"/>
      <c r="K148" s="18" t="n"/>
      <c r="L148" s="17" t="n"/>
      <c r="M148">
        <f>IF(AND(B148&lt;&gt;"",B148='Por empresa'!$B$2),COUNTIF($B$2:B148,'Por empresa'!$B$2),"")</f>
        <v/>
      </c>
    </row>
    <row r="149">
      <c r="A149" s="17" t="n"/>
      <c r="B149" s="17">
        <f>IF(A149="","",IFERROR(VLOOKUP(A149,Notificações!$A:$B,2,FALSE),"ID não encontrado"))</f>
        <v/>
      </c>
      <c r="C149" s="17" t="n"/>
      <c r="D149" s="17" t="n"/>
      <c r="E149" s="17">
        <f>IF(D149="","",IFERROR(VLOOKUP(D149,Catálogo!$A:$D,2,FALSE),"Código não está no Catálogo"))</f>
        <v/>
      </c>
      <c r="F149" s="17">
        <f>IF(D149="","",IFERROR(VLOOKUP(D149,Catálogo!$A:$D,4,FALSE),""))</f>
        <v/>
      </c>
      <c r="G149" s="17" t="n"/>
      <c r="H149" s="17">
        <f>IF(D149="",0,IF(COUNTIFS($A$2:A149,A149,$D$2:D149,D149)=1,1,0))</f>
        <v/>
      </c>
      <c r="I149" s="17" t="n"/>
      <c r="J149" s="17" t="n"/>
      <c r="K149" s="18" t="n"/>
      <c r="L149" s="17" t="n"/>
      <c r="M149">
        <f>IF(AND(B149&lt;&gt;"",B149='Por empresa'!$B$2),COUNTIF($B$2:B149,'Por empresa'!$B$2),"")</f>
        <v/>
      </c>
    </row>
    <row r="150">
      <c r="A150" s="17" t="n"/>
      <c r="B150" s="17">
        <f>IF(A150="","",IFERROR(VLOOKUP(A150,Notificações!$A:$B,2,FALSE),"ID não encontrado"))</f>
        <v/>
      </c>
      <c r="C150" s="17" t="n"/>
      <c r="D150" s="17" t="n"/>
      <c r="E150" s="17">
        <f>IF(D150="","",IFERROR(VLOOKUP(D150,Catálogo!$A:$D,2,FALSE),"Código não está no Catálogo"))</f>
        <v/>
      </c>
      <c r="F150" s="17">
        <f>IF(D150="","",IFERROR(VLOOKUP(D150,Catálogo!$A:$D,4,FALSE),""))</f>
        <v/>
      </c>
      <c r="G150" s="17" t="n"/>
      <c r="H150" s="17">
        <f>IF(D150="",0,IF(COUNTIFS($A$2:A150,A150,$D$2:D150,D150)=1,1,0))</f>
        <v/>
      </c>
      <c r="I150" s="17" t="n"/>
      <c r="J150" s="17" t="n"/>
      <c r="K150" s="18" t="n"/>
      <c r="L150" s="17" t="n"/>
      <c r="M150">
        <f>IF(AND(B150&lt;&gt;"",B150='Por empresa'!$B$2),COUNTIF($B$2:B150,'Por empresa'!$B$2),"")</f>
        <v/>
      </c>
    </row>
    <row r="151">
      <c r="A151" s="17" t="n"/>
      <c r="B151" s="17">
        <f>IF(A151="","",IFERROR(VLOOKUP(A151,Notificações!$A:$B,2,FALSE),"ID não encontrado"))</f>
        <v/>
      </c>
      <c r="C151" s="17" t="n"/>
      <c r="D151" s="17" t="n"/>
      <c r="E151" s="17">
        <f>IF(D151="","",IFERROR(VLOOKUP(D151,Catálogo!$A:$D,2,FALSE),"Código não está no Catálogo"))</f>
        <v/>
      </c>
      <c r="F151" s="17">
        <f>IF(D151="","",IFERROR(VLOOKUP(D151,Catálogo!$A:$D,4,FALSE),""))</f>
        <v/>
      </c>
      <c r="G151" s="17" t="n"/>
      <c r="H151" s="17">
        <f>IF(D151="",0,IF(COUNTIFS($A$2:A151,A151,$D$2:D151,D151)=1,1,0))</f>
        <v/>
      </c>
      <c r="I151" s="17" t="n"/>
      <c r="J151" s="17" t="n"/>
      <c r="K151" s="18" t="n"/>
      <c r="L151" s="17" t="n"/>
      <c r="M151">
        <f>IF(AND(B151&lt;&gt;"",B151='Por empresa'!$B$2),COUNTIF($B$2:B151,'Por empresa'!$B$2),"")</f>
        <v/>
      </c>
    </row>
    <row r="152">
      <c r="A152" s="17" t="n"/>
      <c r="B152" s="17">
        <f>IF(A152="","",IFERROR(VLOOKUP(A152,Notificações!$A:$B,2,FALSE),"ID não encontrado"))</f>
        <v/>
      </c>
      <c r="C152" s="17" t="n"/>
      <c r="D152" s="17" t="n"/>
      <c r="E152" s="17">
        <f>IF(D152="","",IFERROR(VLOOKUP(D152,Catálogo!$A:$D,2,FALSE),"Código não está no Catálogo"))</f>
        <v/>
      </c>
      <c r="F152" s="17">
        <f>IF(D152="","",IFERROR(VLOOKUP(D152,Catálogo!$A:$D,4,FALSE),""))</f>
        <v/>
      </c>
      <c r="G152" s="17" t="n"/>
      <c r="H152" s="17">
        <f>IF(D152="",0,IF(COUNTIFS($A$2:A152,A152,$D$2:D152,D152)=1,1,0))</f>
        <v/>
      </c>
      <c r="I152" s="17" t="n"/>
      <c r="J152" s="17" t="n"/>
      <c r="K152" s="18" t="n"/>
      <c r="L152" s="17" t="n"/>
      <c r="M152">
        <f>IF(AND(B152&lt;&gt;"",B152='Por empresa'!$B$2),COUNTIF($B$2:B152,'Por empresa'!$B$2),"")</f>
        <v/>
      </c>
    </row>
    <row r="153">
      <c r="A153" s="17" t="n"/>
      <c r="B153" s="17">
        <f>IF(A153="","",IFERROR(VLOOKUP(A153,Notificações!$A:$B,2,FALSE),"ID não encontrado"))</f>
        <v/>
      </c>
      <c r="C153" s="17" t="n"/>
      <c r="D153" s="17" t="n"/>
      <c r="E153" s="17">
        <f>IF(D153="","",IFERROR(VLOOKUP(D153,Catálogo!$A:$D,2,FALSE),"Código não está no Catálogo"))</f>
        <v/>
      </c>
      <c r="F153" s="17">
        <f>IF(D153="","",IFERROR(VLOOKUP(D153,Catálogo!$A:$D,4,FALSE),""))</f>
        <v/>
      </c>
      <c r="G153" s="17" t="n"/>
      <c r="H153" s="17">
        <f>IF(D153="",0,IF(COUNTIFS($A$2:A153,A153,$D$2:D153,D153)=1,1,0))</f>
        <v/>
      </c>
      <c r="I153" s="17" t="n"/>
      <c r="J153" s="17" t="n"/>
      <c r="K153" s="18" t="n"/>
      <c r="L153" s="17" t="n"/>
      <c r="M153">
        <f>IF(AND(B153&lt;&gt;"",B153='Por empresa'!$B$2),COUNTIF($B$2:B153,'Por empresa'!$B$2),"")</f>
        <v/>
      </c>
    </row>
    <row r="154">
      <c r="A154" s="17" t="n"/>
      <c r="B154" s="17">
        <f>IF(A154="","",IFERROR(VLOOKUP(A154,Notificações!$A:$B,2,FALSE),"ID não encontrado"))</f>
        <v/>
      </c>
      <c r="C154" s="17" t="n"/>
      <c r="D154" s="17" t="n"/>
      <c r="E154" s="17">
        <f>IF(D154="","",IFERROR(VLOOKUP(D154,Catálogo!$A:$D,2,FALSE),"Código não está no Catálogo"))</f>
        <v/>
      </c>
      <c r="F154" s="17">
        <f>IF(D154="","",IFERROR(VLOOKUP(D154,Catálogo!$A:$D,4,FALSE),""))</f>
        <v/>
      </c>
      <c r="G154" s="17" t="n"/>
      <c r="H154" s="17">
        <f>IF(D154="",0,IF(COUNTIFS($A$2:A154,A154,$D$2:D154,D154)=1,1,0))</f>
        <v/>
      </c>
      <c r="I154" s="17" t="n"/>
      <c r="J154" s="17" t="n"/>
      <c r="K154" s="18" t="n"/>
      <c r="L154" s="17" t="n"/>
      <c r="M154">
        <f>IF(AND(B154&lt;&gt;"",B154='Por empresa'!$B$2),COUNTIF($B$2:B154,'Por empresa'!$B$2),"")</f>
        <v/>
      </c>
    </row>
    <row r="155">
      <c r="A155" s="17" t="n"/>
      <c r="B155" s="17">
        <f>IF(A155="","",IFERROR(VLOOKUP(A155,Notificações!$A:$B,2,FALSE),"ID não encontrado"))</f>
        <v/>
      </c>
      <c r="C155" s="17" t="n"/>
      <c r="D155" s="17" t="n"/>
      <c r="E155" s="17">
        <f>IF(D155="","",IFERROR(VLOOKUP(D155,Catálogo!$A:$D,2,FALSE),"Código não está no Catálogo"))</f>
        <v/>
      </c>
      <c r="F155" s="17">
        <f>IF(D155="","",IFERROR(VLOOKUP(D155,Catálogo!$A:$D,4,FALSE),""))</f>
        <v/>
      </c>
      <c r="G155" s="17" t="n"/>
      <c r="H155" s="17">
        <f>IF(D155="",0,IF(COUNTIFS($A$2:A155,A155,$D$2:D155,D155)=1,1,0))</f>
        <v/>
      </c>
      <c r="I155" s="17" t="n"/>
      <c r="J155" s="17" t="n"/>
      <c r="K155" s="18" t="n"/>
      <c r="L155" s="17" t="n"/>
      <c r="M155">
        <f>IF(AND(B155&lt;&gt;"",B155='Por empresa'!$B$2),COUNTIF($B$2:B155,'Por empresa'!$B$2),"")</f>
        <v/>
      </c>
    </row>
    <row r="156">
      <c r="A156" s="17" t="n"/>
      <c r="B156" s="17">
        <f>IF(A156="","",IFERROR(VLOOKUP(A156,Notificações!$A:$B,2,FALSE),"ID não encontrado"))</f>
        <v/>
      </c>
      <c r="C156" s="17" t="n"/>
      <c r="D156" s="17" t="n"/>
      <c r="E156" s="17">
        <f>IF(D156="","",IFERROR(VLOOKUP(D156,Catálogo!$A:$D,2,FALSE),"Código não está no Catálogo"))</f>
        <v/>
      </c>
      <c r="F156" s="17">
        <f>IF(D156="","",IFERROR(VLOOKUP(D156,Catálogo!$A:$D,4,FALSE),""))</f>
        <v/>
      </c>
      <c r="G156" s="17" t="n"/>
      <c r="H156" s="17">
        <f>IF(D156="",0,IF(COUNTIFS($A$2:A156,A156,$D$2:D156,D156)=1,1,0))</f>
        <v/>
      </c>
      <c r="I156" s="17" t="n"/>
      <c r="J156" s="17" t="n"/>
      <c r="K156" s="18" t="n"/>
      <c r="L156" s="17" t="n"/>
      <c r="M156">
        <f>IF(AND(B156&lt;&gt;"",B156='Por empresa'!$B$2),COUNTIF($B$2:B156,'Por empresa'!$B$2),"")</f>
        <v/>
      </c>
    </row>
    <row r="157">
      <c r="A157" s="17" t="n"/>
      <c r="B157" s="17">
        <f>IF(A157="","",IFERROR(VLOOKUP(A157,Notificações!$A:$B,2,FALSE),"ID não encontrado"))</f>
        <v/>
      </c>
      <c r="C157" s="17" t="n"/>
      <c r="D157" s="17" t="n"/>
      <c r="E157" s="17">
        <f>IF(D157="","",IFERROR(VLOOKUP(D157,Catálogo!$A:$D,2,FALSE),"Código não está no Catálogo"))</f>
        <v/>
      </c>
      <c r="F157" s="17">
        <f>IF(D157="","",IFERROR(VLOOKUP(D157,Catálogo!$A:$D,4,FALSE),""))</f>
        <v/>
      </c>
      <c r="G157" s="17" t="n"/>
      <c r="H157" s="17">
        <f>IF(D157="",0,IF(COUNTIFS($A$2:A157,A157,$D$2:D157,D157)=1,1,0))</f>
        <v/>
      </c>
      <c r="I157" s="17" t="n"/>
      <c r="J157" s="17" t="n"/>
      <c r="K157" s="18" t="n"/>
      <c r="L157" s="17" t="n"/>
      <c r="M157">
        <f>IF(AND(B157&lt;&gt;"",B157='Por empresa'!$B$2),COUNTIF($B$2:B157,'Por empresa'!$B$2),"")</f>
        <v/>
      </c>
    </row>
    <row r="158">
      <c r="A158" s="17" t="n"/>
      <c r="B158" s="17">
        <f>IF(A158="","",IFERROR(VLOOKUP(A158,Notificações!$A:$B,2,FALSE),"ID não encontrado"))</f>
        <v/>
      </c>
      <c r="C158" s="17" t="n"/>
      <c r="D158" s="17" t="n"/>
      <c r="E158" s="17">
        <f>IF(D158="","",IFERROR(VLOOKUP(D158,Catálogo!$A:$D,2,FALSE),"Código não está no Catálogo"))</f>
        <v/>
      </c>
      <c r="F158" s="17">
        <f>IF(D158="","",IFERROR(VLOOKUP(D158,Catálogo!$A:$D,4,FALSE),""))</f>
        <v/>
      </c>
      <c r="G158" s="17" t="n"/>
      <c r="H158" s="17">
        <f>IF(D158="",0,IF(COUNTIFS($A$2:A158,A158,$D$2:D158,D158)=1,1,0))</f>
        <v/>
      </c>
      <c r="I158" s="17" t="n"/>
      <c r="J158" s="17" t="n"/>
      <c r="K158" s="18" t="n"/>
      <c r="L158" s="17" t="n"/>
      <c r="M158">
        <f>IF(AND(B158&lt;&gt;"",B158='Por empresa'!$B$2),COUNTIF($B$2:B158,'Por empresa'!$B$2),"")</f>
        <v/>
      </c>
    </row>
    <row r="159">
      <c r="A159" s="17" t="n"/>
      <c r="B159" s="17">
        <f>IF(A159="","",IFERROR(VLOOKUP(A159,Notificações!$A:$B,2,FALSE),"ID não encontrado"))</f>
        <v/>
      </c>
      <c r="C159" s="17" t="n"/>
      <c r="D159" s="17" t="n"/>
      <c r="E159" s="17">
        <f>IF(D159="","",IFERROR(VLOOKUP(D159,Catálogo!$A:$D,2,FALSE),"Código não está no Catálogo"))</f>
        <v/>
      </c>
      <c r="F159" s="17">
        <f>IF(D159="","",IFERROR(VLOOKUP(D159,Catálogo!$A:$D,4,FALSE),""))</f>
        <v/>
      </c>
      <c r="G159" s="17" t="n"/>
      <c r="H159" s="17">
        <f>IF(D159="",0,IF(COUNTIFS($A$2:A159,A159,$D$2:D159,D159)=1,1,0))</f>
        <v/>
      </c>
      <c r="I159" s="17" t="n"/>
      <c r="J159" s="17" t="n"/>
      <c r="K159" s="18" t="n"/>
      <c r="L159" s="17" t="n"/>
      <c r="M159">
        <f>IF(AND(B159&lt;&gt;"",B159='Por empresa'!$B$2),COUNTIF($B$2:B159,'Por empresa'!$B$2),"")</f>
        <v/>
      </c>
    </row>
    <row r="160">
      <c r="A160" s="17" t="n"/>
      <c r="B160" s="17">
        <f>IF(A160="","",IFERROR(VLOOKUP(A160,Notificações!$A:$B,2,FALSE),"ID não encontrado"))</f>
        <v/>
      </c>
      <c r="C160" s="17" t="n"/>
      <c r="D160" s="17" t="n"/>
      <c r="E160" s="17">
        <f>IF(D160="","",IFERROR(VLOOKUP(D160,Catálogo!$A:$D,2,FALSE),"Código não está no Catálogo"))</f>
        <v/>
      </c>
      <c r="F160" s="17">
        <f>IF(D160="","",IFERROR(VLOOKUP(D160,Catálogo!$A:$D,4,FALSE),""))</f>
        <v/>
      </c>
      <c r="G160" s="17" t="n"/>
      <c r="H160" s="17">
        <f>IF(D160="",0,IF(COUNTIFS($A$2:A160,A160,$D$2:D160,D160)=1,1,0))</f>
        <v/>
      </c>
      <c r="I160" s="17" t="n"/>
      <c r="J160" s="17" t="n"/>
      <c r="K160" s="18" t="n"/>
      <c r="L160" s="17" t="n"/>
      <c r="M160">
        <f>IF(AND(B160&lt;&gt;"",B160='Por empresa'!$B$2),COUNTIF($B$2:B160,'Por empresa'!$B$2),"")</f>
        <v/>
      </c>
    </row>
    <row r="161">
      <c r="A161" s="17" t="n"/>
      <c r="B161" s="17">
        <f>IF(A161="","",IFERROR(VLOOKUP(A161,Notificações!$A:$B,2,FALSE),"ID não encontrado"))</f>
        <v/>
      </c>
      <c r="C161" s="17" t="n"/>
      <c r="D161" s="17" t="n"/>
      <c r="E161" s="17">
        <f>IF(D161="","",IFERROR(VLOOKUP(D161,Catálogo!$A:$D,2,FALSE),"Código não está no Catálogo"))</f>
        <v/>
      </c>
      <c r="F161" s="17">
        <f>IF(D161="","",IFERROR(VLOOKUP(D161,Catálogo!$A:$D,4,FALSE),""))</f>
        <v/>
      </c>
      <c r="G161" s="17" t="n"/>
      <c r="H161" s="17">
        <f>IF(D161="",0,IF(COUNTIFS($A$2:A161,A161,$D$2:D161,D161)=1,1,0))</f>
        <v/>
      </c>
      <c r="I161" s="17" t="n"/>
      <c r="J161" s="17" t="n"/>
      <c r="K161" s="18" t="n"/>
      <c r="L161" s="17" t="n"/>
      <c r="M161">
        <f>IF(AND(B161&lt;&gt;"",B161='Por empresa'!$B$2),COUNTIF($B$2:B161,'Por empresa'!$B$2),"")</f>
        <v/>
      </c>
    </row>
    <row r="162">
      <c r="A162" s="17" t="n"/>
      <c r="B162" s="17">
        <f>IF(A162="","",IFERROR(VLOOKUP(A162,Notificações!$A:$B,2,FALSE),"ID não encontrado"))</f>
        <v/>
      </c>
      <c r="C162" s="17" t="n"/>
      <c r="D162" s="17" t="n"/>
      <c r="E162" s="17">
        <f>IF(D162="","",IFERROR(VLOOKUP(D162,Catálogo!$A:$D,2,FALSE),"Código não está no Catálogo"))</f>
        <v/>
      </c>
      <c r="F162" s="17">
        <f>IF(D162="","",IFERROR(VLOOKUP(D162,Catálogo!$A:$D,4,FALSE),""))</f>
        <v/>
      </c>
      <c r="G162" s="17" t="n"/>
      <c r="H162" s="17">
        <f>IF(D162="",0,IF(COUNTIFS($A$2:A162,A162,$D$2:D162,D162)=1,1,0))</f>
        <v/>
      </c>
      <c r="I162" s="17" t="n"/>
      <c r="J162" s="17" t="n"/>
      <c r="K162" s="18" t="n"/>
      <c r="L162" s="17" t="n"/>
      <c r="M162">
        <f>IF(AND(B162&lt;&gt;"",B162='Por empresa'!$B$2),COUNTIF($B$2:B162,'Por empresa'!$B$2),"")</f>
        <v/>
      </c>
    </row>
    <row r="163">
      <c r="A163" s="17" t="n"/>
      <c r="B163" s="17">
        <f>IF(A163="","",IFERROR(VLOOKUP(A163,Notificações!$A:$B,2,FALSE),"ID não encontrado"))</f>
        <v/>
      </c>
      <c r="C163" s="17" t="n"/>
      <c r="D163" s="17" t="n"/>
      <c r="E163" s="17">
        <f>IF(D163="","",IFERROR(VLOOKUP(D163,Catálogo!$A:$D,2,FALSE),"Código não está no Catálogo"))</f>
        <v/>
      </c>
      <c r="F163" s="17">
        <f>IF(D163="","",IFERROR(VLOOKUP(D163,Catálogo!$A:$D,4,FALSE),""))</f>
        <v/>
      </c>
      <c r="G163" s="17" t="n"/>
      <c r="H163" s="17">
        <f>IF(D163="",0,IF(COUNTIFS($A$2:A163,A163,$D$2:D163,D163)=1,1,0))</f>
        <v/>
      </c>
      <c r="I163" s="17" t="n"/>
      <c r="J163" s="17" t="n"/>
      <c r="K163" s="18" t="n"/>
      <c r="L163" s="17" t="n"/>
      <c r="M163">
        <f>IF(AND(B163&lt;&gt;"",B163='Por empresa'!$B$2),COUNTIF($B$2:B163,'Por empresa'!$B$2),"")</f>
        <v/>
      </c>
    </row>
    <row r="164">
      <c r="A164" s="17" t="n"/>
      <c r="B164" s="17">
        <f>IF(A164="","",IFERROR(VLOOKUP(A164,Notificações!$A:$B,2,FALSE),"ID não encontrado"))</f>
        <v/>
      </c>
      <c r="C164" s="17" t="n"/>
      <c r="D164" s="17" t="n"/>
      <c r="E164" s="17">
        <f>IF(D164="","",IFERROR(VLOOKUP(D164,Catálogo!$A:$D,2,FALSE),"Código não está no Catálogo"))</f>
        <v/>
      </c>
      <c r="F164" s="17">
        <f>IF(D164="","",IFERROR(VLOOKUP(D164,Catálogo!$A:$D,4,FALSE),""))</f>
        <v/>
      </c>
      <c r="G164" s="17" t="n"/>
      <c r="H164" s="17">
        <f>IF(D164="",0,IF(COUNTIFS($A$2:A164,A164,$D$2:D164,D164)=1,1,0))</f>
        <v/>
      </c>
      <c r="I164" s="17" t="n"/>
      <c r="J164" s="17" t="n"/>
      <c r="K164" s="18" t="n"/>
      <c r="L164" s="17" t="n"/>
      <c r="M164">
        <f>IF(AND(B164&lt;&gt;"",B164='Por empresa'!$B$2),COUNTIF($B$2:B164,'Por empresa'!$B$2),"")</f>
        <v/>
      </c>
    </row>
    <row r="165">
      <c r="A165" s="17" t="n"/>
      <c r="B165" s="17">
        <f>IF(A165="","",IFERROR(VLOOKUP(A165,Notificações!$A:$B,2,FALSE),"ID não encontrado"))</f>
        <v/>
      </c>
      <c r="C165" s="17" t="n"/>
      <c r="D165" s="17" t="n"/>
      <c r="E165" s="17">
        <f>IF(D165="","",IFERROR(VLOOKUP(D165,Catálogo!$A:$D,2,FALSE),"Código não está no Catálogo"))</f>
        <v/>
      </c>
      <c r="F165" s="17">
        <f>IF(D165="","",IFERROR(VLOOKUP(D165,Catálogo!$A:$D,4,FALSE),""))</f>
        <v/>
      </c>
      <c r="G165" s="17" t="n"/>
      <c r="H165" s="17">
        <f>IF(D165="",0,IF(COUNTIFS($A$2:A165,A165,$D$2:D165,D165)=1,1,0))</f>
        <v/>
      </c>
      <c r="I165" s="17" t="n"/>
      <c r="J165" s="17" t="n"/>
      <c r="K165" s="18" t="n"/>
      <c r="L165" s="17" t="n"/>
      <c r="M165">
        <f>IF(AND(B165&lt;&gt;"",B165='Por empresa'!$B$2),COUNTIF($B$2:B165,'Por empresa'!$B$2),"")</f>
        <v/>
      </c>
    </row>
    <row r="166">
      <c r="A166" s="17" t="n"/>
      <c r="B166" s="17">
        <f>IF(A166="","",IFERROR(VLOOKUP(A166,Notificações!$A:$B,2,FALSE),"ID não encontrado"))</f>
        <v/>
      </c>
      <c r="C166" s="17" t="n"/>
      <c r="D166" s="17" t="n"/>
      <c r="E166" s="17">
        <f>IF(D166="","",IFERROR(VLOOKUP(D166,Catálogo!$A:$D,2,FALSE),"Código não está no Catálogo"))</f>
        <v/>
      </c>
      <c r="F166" s="17">
        <f>IF(D166="","",IFERROR(VLOOKUP(D166,Catálogo!$A:$D,4,FALSE),""))</f>
        <v/>
      </c>
      <c r="G166" s="17" t="n"/>
      <c r="H166" s="17">
        <f>IF(D166="",0,IF(COUNTIFS($A$2:A166,A166,$D$2:D166,D166)=1,1,0))</f>
        <v/>
      </c>
      <c r="I166" s="17" t="n"/>
      <c r="J166" s="17" t="n"/>
      <c r="K166" s="18" t="n"/>
      <c r="L166" s="17" t="n"/>
      <c r="M166">
        <f>IF(AND(B166&lt;&gt;"",B166='Por empresa'!$B$2),COUNTIF($B$2:B166,'Por empresa'!$B$2),"")</f>
        <v/>
      </c>
    </row>
    <row r="167">
      <c r="A167" s="17" t="n"/>
      <c r="B167" s="17">
        <f>IF(A167="","",IFERROR(VLOOKUP(A167,Notificações!$A:$B,2,FALSE),"ID não encontrado"))</f>
        <v/>
      </c>
      <c r="C167" s="17" t="n"/>
      <c r="D167" s="17" t="n"/>
      <c r="E167" s="17">
        <f>IF(D167="","",IFERROR(VLOOKUP(D167,Catálogo!$A:$D,2,FALSE),"Código não está no Catálogo"))</f>
        <v/>
      </c>
      <c r="F167" s="17">
        <f>IF(D167="","",IFERROR(VLOOKUP(D167,Catálogo!$A:$D,4,FALSE),""))</f>
        <v/>
      </c>
      <c r="G167" s="17" t="n"/>
      <c r="H167" s="17">
        <f>IF(D167="",0,IF(COUNTIFS($A$2:A167,A167,$D$2:D167,D167)=1,1,0))</f>
        <v/>
      </c>
      <c r="I167" s="17" t="n"/>
      <c r="J167" s="17" t="n"/>
      <c r="K167" s="18" t="n"/>
      <c r="L167" s="17" t="n"/>
      <c r="M167">
        <f>IF(AND(B167&lt;&gt;"",B167='Por empresa'!$B$2),COUNTIF($B$2:B167,'Por empresa'!$B$2),"")</f>
        <v/>
      </c>
    </row>
    <row r="168">
      <c r="A168" s="17" t="n"/>
      <c r="B168" s="17">
        <f>IF(A168="","",IFERROR(VLOOKUP(A168,Notificações!$A:$B,2,FALSE),"ID não encontrado"))</f>
        <v/>
      </c>
      <c r="C168" s="17" t="n"/>
      <c r="D168" s="17" t="n"/>
      <c r="E168" s="17">
        <f>IF(D168="","",IFERROR(VLOOKUP(D168,Catálogo!$A:$D,2,FALSE),"Código não está no Catálogo"))</f>
        <v/>
      </c>
      <c r="F168" s="17">
        <f>IF(D168="","",IFERROR(VLOOKUP(D168,Catálogo!$A:$D,4,FALSE),""))</f>
        <v/>
      </c>
      <c r="G168" s="17" t="n"/>
      <c r="H168" s="17">
        <f>IF(D168="",0,IF(COUNTIFS($A$2:A168,A168,$D$2:D168,D168)=1,1,0))</f>
        <v/>
      </c>
      <c r="I168" s="17" t="n"/>
      <c r="J168" s="17" t="n"/>
      <c r="K168" s="18" t="n"/>
      <c r="L168" s="17" t="n"/>
      <c r="M168">
        <f>IF(AND(B168&lt;&gt;"",B168='Por empresa'!$B$2),COUNTIF($B$2:B168,'Por empresa'!$B$2),"")</f>
        <v/>
      </c>
    </row>
    <row r="169">
      <c r="A169" s="17" t="n"/>
      <c r="B169" s="17">
        <f>IF(A169="","",IFERROR(VLOOKUP(A169,Notificações!$A:$B,2,FALSE),"ID não encontrado"))</f>
        <v/>
      </c>
      <c r="C169" s="17" t="n"/>
      <c r="D169" s="17" t="n"/>
      <c r="E169" s="17">
        <f>IF(D169="","",IFERROR(VLOOKUP(D169,Catálogo!$A:$D,2,FALSE),"Código não está no Catálogo"))</f>
        <v/>
      </c>
      <c r="F169" s="17">
        <f>IF(D169="","",IFERROR(VLOOKUP(D169,Catálogo!$A:$D,4,FALSE),""))</f>
        <v/>
      </c>
      <c r="G169" s="17" t="n"/>
      <c r="H169" s="17">
        <f>IF(D169="",0,IF(COUNTIFS($A$2:A169,A169,$D$2:D169,D169)=1,1,0))</f>
        <v/>
      </c>
      <c r="I169" s="17" t="n"/>
      <c r="J169" s="17" t="n"/>
      <c r="K169" s="18" t="n"/>
      <c r="L169" s="17" t="n"/>
      <c r="M169">
        <f>IF(AND(B169&lt;&gt;"",B169='Por empresa'!$B$2),COUNTIF($B$2:B169,'Por empresa'!$B$2),"")</f>
        <v/>
      </c>
    </row>
    <row r="170">
      <c r="A170" s="17" t="n"/>
      <c r="B170" s="17">
        <f>IF(A170="","",IFERROR(VLOOKUP(A170,Notificações!$A:$B,2,FALSE),"ID não encontrado"))</f>
        <v/>
      </c>
      <c r="C170" s="17" t="n"/>
      <c r="D170" s="17" t="n"/>
      <c r="E170" s="17">
        <f>IF(D170="","",IFERROR(VLOOKUP(D170,Catálogo!$A:$D,2,FALSE),"Código não está no Catálogo"))</f>
        <v/>
      </c>
      <c r="F170" s="17">
        <f>IF(D170="","",IFERROR(VLOOKUP(D170,Catálogo!$A:$D,4,FALSE),""))</f>
        <v/>
      </c>
      <c r="G170" s="17" t="n"/>
      <c r="H170" s="17">
        <f>IF(D170="",0,IF(COUNTIFS($A$2:A170,A170,$D$2:D170,D170)=1,1,0))</f>
        <v/>
      </c>
      <c r="I170" s="17" t="n"/>
      <c r="J170" s="17" t="n"/>
      <c r="K170" s="18" t="n"/>
      <c r="L170" s="17" t="n"/>
      <c r="M170">
        <f>IF(AND(B170&lt;&gt;"",B170='Por empresa'!$B$2),COUNTIF($B$2:B170,'Por empresa'!$B$2),"")</f>
        <v/>
      </c>
    </row>
    <row r="171">
      <c r="A171" s="17" t="n"/>
      <c r="B171" s="17">
        <f>IF(A171="","",IFERROR(VLOOKUP(A171,Notificações!$A:$B,2,FALSE),"ID não encontrado"))</f>
        <v/>
      </c>
      <c r="C171" s="17" t="n"/>
      <c r="D171" s="17" t="n"/>
      <c r="E171" s="17">
        <f>IF(D171="","",IFERROR(VLOOKUP(D171,Catálogo!$A:$D,2,FALSE),"Código não está no Catálogo"))</f>
        <v/>
      </c>
      <c r="F171" s="17">
        <f>IF(D171="","",IFERROR(VLOOKUP(D171,Catálogo!$A:$D,4,FALSE),""))</f>
        <v/>
      </c>
      <c r="G171" s="17" t="n"/>
      <c r="H171" s="17">
        <f>IF(D171="",0,IF(COUNTIFS($A$2:A171,A171,$D$2:D171,D171)=1,1,0))</f>
        <v/>
      </c>
      <c r="I171" s="17" t="n"/>
      <c r="J171" s="17" t="n"/>
      <c r="K171" s="18" t="n"/>
      <c r="L171" s="17" t="n"/>
      <c r="M171">
        <f>IF(AND(B171&lt;&gt;"",B171='Por empresa'!$B$2),COUNTIF($B$2:B171,'Por empresa'!$B$2),"")</f>
        <v/>
      </c>
    </row>
    <row r="172">
      <c r="A172" s="17" t="n"/>
      <c r="B172" s="17">
        <f>IF(A172="","",IFERROR(VLOOKUP(A172,Notificações!$A:$B,2,FALSE),"ID não encontrado"))</f>
        <v/>
      </c>
      <c r="C172" s="17" t="n"/>
      <c r="D172" s="17" t="n"/>
      <c r="E172" s="17">
        <f>IF(D172="","",IFERROR(VLOOKUP(D172,Catálogo!$A:$D,2,FALSE),"Código não está no Catálogo"))</f>
        <v/>
      </c>
      <c r="F172" s="17">
        <f>IF(D172="","",IFERROR(VLOOKUP(D172,Catálogo!$A:$D,4,FALSE),""))</f>
        <v/>
      </c>
      <c r="G172" s="17" t="n"/>
      <c r="H172" s="17">
        <f>IF(D172="",0,IF(COUNTIFS($A$2:A172,A172,$D$2:D172,D172)=1,1,0))</f>
        <v/>
      </c>
      <c r="I172" s="17" t="n"/>
      <c r="J172" s="17" t="n"/>
      <c r="K172" s="18" t="n"/>
      <c r="L172" s="17" t="n"/>
      <c r="M172">
        <f>IF(AND(B172&lt;&gt;"",B172='Por empresa'!$B$2),COUNTIF($B$2:B172,'Por empresa'!$B$2),"")</f>
        <v/>
      </c>
    </row>
    <row r="173">
      <c r="A173" s="17" t="n"/>
      <c r="B173" s="17">
        <f>IF(A173="","",IFERROR(VLOOKUP(A173,Notificações!$A:$B,2,FALSE),"ID não encontrado"))</f>
        <v/>
      </c>
      <c r="C173" s="17" t="n"/>
      <c r="D173" s="17" t="n"/>
      <c r="E173" s="17">
        <f>IF(D173="","",IFERROR(VLOOKUP(D173,Catálogo!$A:$D,2,FALSE),"Código não está no Catálogo"))</f>
        <v/>
      </c>
      <c r="F173" s="17">
        <f>IF(D173="","",IFERROR(VLOOKUP(D173,Catálogo!$A:$D,4,FALSE),""))</f>
        <v/>
      </c>
      <c r="G173" s="17" t="n"/>
      <c r="H173" s="17">
        <f>IF(D173="",0,IF(COUNTIFS($A$2:A173,A173,$D$2:D173,D173)=1,1,0))</f>
        <v/>
      </c>
      <c r="I173" s="17" t="n"/>
      <c r="J173" s="17" t="n"/>
      <c r="K173" s="18" t="n"/>
      <c r="L173" s="17" t="n"/>
      <c r="M173">
        <f>IF(AND(B173&lt;&gt;"",B173='Por empresa'!$B$2),COUNTIF($B$2:B173,'Por empresa'!$B$2),"")</f>
        <v/>
      </c>
    </row>
    <row r="174">
      <c r="A174" s="17" t="n"/>
      <c r="B174" s="17">
        <f>IF(A174="","",IFERROR(VLOOKUP(A174,Notificações!$A:$B,2,FALSE),"ID não encontrado"))</f>
        <v/>
      </c>
      <c r="C174" s="17" t="n"/>
      <c r="D174" s="17" t="n"/>
      <c r="E174" s="17">
        <f>IF(D174="","",IFERROR(VLOOKUP(D174,Catálogo!$A:$D,2,FALSE),"Código não está no Catálogo"))</f>
        <v/>
      </c>
      <c r="F174" s="17">
        <f>IF(D174="","",IFERROR(VLOOKUP(D174,Catálogo!$A:$D,4,FALSE),""))</f>
        <v/>
      </c>
      <c r="G174" s="17" t="n"/>
      <c r="H174" s="17">
        <f>IF(D174="",0,IF(COUNTIFS($A$2:A174,A174,$D$2:D174,D174)=1,1,0))</f>
        <v/>
      </c>
      <c r="I174" s="17" t="n"/>
      <c r="J174" s="17" t="n"/>
      <c r="K174" s="18" t="n"/>
      <c r="L174" s="17" t="n"/>
      <c r="M174">
        <f>IF(AND(B174&lt;&gt;"",B174='Por empresa'!$B$2),COUNTIF($B$2:B174,'Por empresa'!$B$2),"")</f>
        <v/>
      </c>
    </row>
    <row r="175">
      <c r="A175" s="17" t="n"/>
      <c r="B175" s="17">
        <f>IF(A175="","",IFERROR(VLOOKUP(A175,Notificações!$A:$B,2,FALSE),"ID não encontrado"))</f>
        <v/>
      </c>
      <c r="C175" s="17" t="n"/>
      <c r="D175" s="17" t="n"/>
      <c r="E175" s="17">
        <f>IF(D175="","",IFERROR(VLOOKUP(D175,Catálogo!$A:$D,2,FALSE),"Código não está no Catálogo"))</f>
        <v/>
      </c>
      <c r="F175" s="17">
        <f>IF(D175="","",IFERROR(VLOOKUP(D175,Catálogo!$A:$D,4,FALSE),""))</f>
        <v/>
      </c>
      <c r="G175" s="17" t="n"/>
      <c r="H175" s="17">
        <f>IF(D175="",0,IF(COUNTIFS($A$2:A175,A175,$D$2:D175,D175)=1,1,0))</f>
        <v/>
      </c>
      <c r="I175" s="17" t="n"/>
      <c r="J175" s="17" t="n"/>
      <c r="K175" s="18" t="n"/>
      <c r="L175" s="17" t="n"/>
      <c r="M175">
        <f>IF(AND(B175&lt;&gt;"",B175='Por empresa'!$B$2),COUNTIF($B$2:B175,'Por empresa'!$B$2),"")</f>
        <v/>
      </c>
    </row>
    <row r="176">
      <c r="A176" s="17" t="n"/>
      <c r="B176" s="17">
        <f>IF(A176="","",IFERROR(VLOOKUP(A176,Notificações!$A:$B,2,FALSE),"ID não encontrado"))</f>
        <v/>
      </c>
      <c r="C176" s="17" t="n"/>
      <c r="D176" s="17" t="n"/>
      <c r="E176" s="17">
        <f>IF(D176="","",IFERROR(VLOOKUP(D176,Catálogo!$A:$D,2,FALSE),"Código não está no Catálogo"))</f>
        <v/>
      </c>
      <c r="F176" s="17">
        <f>IF(D176="","",IFERROR(VLOOKUP(D176,Catálogo!$A:$D,4,FALSE),""))</f>
        <v/>
      </c>
      <c r="G176" s="17" t="n"/>
      <c r="H176" s="17">
        <f>IF(D176="",0,IF(COUNTIFS($A$2:A176,A176,$D$2:D176,D176)=1,1,0))</f>
        <v/>
      </c>
      <c r="I176" s="17" t="n"/>
      <c r="J176" s="17" t="n"/>
      <c r="K176" s="18" t="n"/>
      <c r="L176" s="17" t="n"/>
      <c r="M176">
        <f>IF(AND(B176&lt;&gt;"",B176='Por empresa'!$B$2),COUNTIF($B$2:B176,'Por empresa'!$B$2),"")</f>
        <v/>
      </c>
    </row>
    <row r="177">
      <c r="A177" s="17" t="n"/>
      <c r="B177" s="17">
        <f>IF(A177="","",IFERROR(VLOOKUP(A177,Notificações!$A:$B,2,FALSE),"ID não encontrado"))</f>
        <v/>
      </c>
      <c r="C177" s="17" t="n"/>
      <c r="D177" s="17" t="n"/>
      <c r="E177" s="17">
        <f>IF(D177="","",IFERROR(VLOOKUP(D177,Catálogo!$A:$D,2,FALSE),"Código não está no Catálogo"))</f>
        <v/>
      </c>
      <c r="F177" s="17">
        <f>IF(D177="","",IFERROR(VLOOKUP(D177,Catálogo!$A:$D,4,FALSE),""))</f>
        <v/>
      </c>
      <c r="G177" s="17" t="n"/>
      <c r="H177" s="17">
        <f>IF(D177="",0,IF(COUNTIFS($A$2:A177,A177,$D$2:D177,D177)=1,1,0))</f>
        <v/>
      </c>
      <c r="I177" s="17" t="n"/>
      <c r="J177" s="17" t="n"/>
      <c r="K177" s="18" t="n"/>
      <c r="L177" s="17" t="n"/>
      <c r="M177">
        <f>IF(AND(B177&lt;&gt;"",B177='Por empresa'!$B$2),COUNTIF($B$2:B177,'Por empresa'!$B$2),"")</f>
        <v/>
      </c>
    </row>
    <row r="178">
      <c r="A178" s="17" t="n"/>
      <c r="B178" s="17">
        <f>IF(A178="","",IFERROR(VLOOKUP(A178,Notificações!$A:$B,2,FALSE),"ID não encontrado"))</f>
        <v/>
      </c>
      <c r="C178" s="17" t="n"/>
      <c r="D178" s="17" t="n"/>
      <c r="E178" s="17">
        <f>IF(D178="","",IFERROR(VLOOKUP(D178,Catálogo!$A:$D,2,FALSE),"Código não está no Catálogo"))</f>
        <v/>
      </c>
      <c r="F178" s="17">
        <f>IF(D178="","",IFERROR(VLOOKUP(D178,Catálogo!$A:$D,4,FALSE),""))</f>
        <v/>
      </c>
      <c r="G178" s="17" t="n"/>
      <c r="H178" s="17">
        <f>IF(D178="",0,IF(COUNTIFS($A$2:A178,A178,$D$2:D178,D178)=1,1,0))</f>
        <v/>
      </c>
      <c r="I178" s="17" t="n"/>
      <c r="J178" s="17" t="n"/>
      <c r="K178" s="18" t="n"/>
      <c r="L178" s="17" t="n"/>
      <c r="M178">
        <f>IF(AND(B178&lt;&gt;"",B178='Por empresa'!$B$2),COUNTIF($B$2:B178,'Por empresa'!$B$2),"")</f>
        <v/>
      </c>
    </row>
    <row r="179">
      <c r="A179" s="17" t="n"/>
      <c r="B179" s="17">
        <f>IF(A179="","",IFERROR(VLOOKUP(A179,Notificações!$A:$B,2,FALSE),"ID não encontrado"))</f>
        <v/>
      </c>
      <c r="C179" s="17" t="n"/>
      <c r="D179" s="17" t="n"/>
      <c r="E179" s="17">
        <f>IF(D179="","",IFERROR(VLOOKUP(D179,Catálogo!$A:$D,2,FALSE),"Código não está no Catálogo"))</f>
        <v/>
      </c>
      <c r="F179" s="17">
        <f>IF(D179="","",IFERROR(VLOOKUP(D179,Catálogo!$A:$D,4,FALSE),""))</f>
        <v/>
      </c>
      <c r="G179" s="17" t="n"/>
      <c r="H179" s="17">
        <f>IF(D179="",0,IF(COUNTIFS($A$2:A179,A179,$D$2:D179,D179)=1,1,0))</f>
        <v/>
      </c>
      <c r="I179" s="17" t="n"/>
      <c r="J179" s="17" t="n"/>
      <c r="K179" s="18" t="n"/>
      <c r="L179" s="17" t="n"/>
      <c r="M179">
        <f>IF(AND(B179&lt;&gt;"",B179='Por empresa'!$B$2),COUNTIF($B$2:B179,'Por empresa'!$B$2),"")</f>
        <v/>
      </c>
    </row>
    <row r="180">
      <c r="A180" s="17" t="n"/>
      <c r="B180" s="17">
        <f>IF(A180="","",IFERROR(VLOOKUP(A180,Notificações!$A:$B,2,FALSE),"ID não encontrado"))</f>
        <v/>
      </c>
      <c r="C180" s="17" t="n"/>
      <c r="D180" s="17" t="n"/>
      <c r="E180" s="17">
        <f>IF(D180="","",IFERROR(VLOOKUP(D180,Catálogo!$A:$D,2,FALSE),"Código não está no Catálogo"))</f>
        <v/>
      </c>
      <c r="F180" s="17">
        <f>IF(D180="","",IFERROR(VLOOKUP(D180,Catálogo!$A:$D,4,FALSE),""))</f>
        <v/>
      </c>
      <c r="G180" s="17" t="n"/>
      <c r="H180" s="17">
        <f>IF(D180="",0,IF(COUNTIFS($A$2:A180,A180,$D$2:D180,D180)=1,1,0))</f>
        <v/>
      </c>
      <c r="I180" s="17" t="n"/>
      <c r="J180" s="17" t="n"/>
      <c r="K180" s="18" t="n"/>
      <c r="L180" s="17" t="n"/>
      <c r="M180">
        <f>IF(AND(B180&lt;&gt;"",B180='Por empresa'!$B$2),COUNTIF($B$2:B180,'Por empresa'!$B$2),"")</f>
        <v/>
      </c>
    </row>
    <row r="181">
      <c r="A181" s="17" t="n"/>
      <c r="B181" s="17">
        <f>IF(A181="","",IFERROR(VLOOKUP(A181,Notificações!$A:$B,2,FALSE),"ID não encontrado"))</f>
        <v/>
      </c>
      <c r="C181" s="17" t="n"/>
      <c r="D181" s="17" t="n"/>
      <c r="E181" s="17">
        <f>IF(D181="","",IFERROR(VLOOKUP(D181,Catálogo!$A:$D,2,FALSE),"Código não está no Catálogo"))</f>
        <v/>
      </c>
      <c r="F181" s="17">
        <f>IF(D181="","",IFERROR(VLOOKUP(D181,Catálogo!$A:$D,4,FALSE),""))</f>
        <v/>
      </c>
      <c r="G181" s="17" t="n"/>
      <c r="H181" s="17">
        <f>IF(D181="",0,IF(COUNTIFS($A$2:A181,A181,$D$2:D181,D181)=1,1,0))</f>
        <v/>
      </c>
      <c r="I181" s="17" t="n"/>
      <c r="J181" s="17" t="n"/>
      <c r="K181" s="18" t="n"/>
      <c r="L181" s="17" t="n"/>
      <c r="M181">
        <f>IF(AND(B181&lt;&gt;"",B181='Por empresa'!$B$2),COUNTIF($B$2:B181,'Por empresa'!$B$2),"")</f>
        <v/>
      </c>
    </row>
    <row r="182">
      <c r="A182" s="17" t="n"/>
      <c r="B182" s="17">
        <f>IF(A182="","",IFERROR(VLOOKUP(A182,Notificações!$A:$B,2,FALSE),"ID não encontrado"))</f>
        <v/>
      </c>
      <c r="C182" s="17" t="n"/>
      <c r="D182" s="17" t="n"/>
      <c r="E182" s="17">
        <f>IF(D182="","",IFERROR(VLOOKUP(D182,Catálogo!$A:$D,2,FALSE),"Código não está no Catálogo"))</f>
        <v/>
      </c>
      <c r="F182" s="17">
        <f>IF(D182="","",IFERROR(VLOOKUP(D182,Catálogo!$A:$D,4,FALSE),""))</f>
        <v/>
      </c>
      <c r="G182" s="17" t="n"/>
      <c r="H182" s="17">
        <f>IF(D182="",0,IF(COUNTIFS($A$2:A182,A182,$D$2:D182,D182)=1,1,0))</f>
        <v/>
      </c>
      <c r="I182" s="17" t="n"/>
      <c r="J182" s="17" t="n"/>
      <c r="K182" s="18" t="n"/>
      <c r="L182" s="17" t="n"/>
      <c r="M182">
        <f>IF(AND(B182&lt;&gt;"",B182='Por empresa'!$B$2),COUNTIF($B$2:B182,'Por empresa'!$B$2),"")</f>
        <v/>
      </c>
    </row>
    <row r="183">
      <c r="A183" s="17" t="n"/>
      <c r="B183" s="17">
        <f>IF(A183="","",IFERROR(VLOOKUP(A183,Notificações!$A:$B,2,FALSE),"ID não encontrado"))</f>
        <v/>
      </c>
      <c r="C183" s="17" t="n"/>
      <c r="D183" s="17" t="n"/>
      <c r="E183" s="17">
        <f>IF(D183="","",IFERROR(VLOOKUP(D183,Catálogo!$A:$D,2,FALSE),"Código não está no Catálogo"))</f>
        <v/>
      </c>
      <c r="F183" s="17">
        <f>IF(D183="","",IFERROR(VLOOKUP(D183,Catálogo!$A:$D,4,FALSE),""))</f>
        <v/>
      </c>
      <c r="G183" s="17" t="n"/>
      <c r="H183" s="17">
        <f>IF(D183="",0,IF(COUNTIFS($A$2:A183,A183,$D$2:D183,D183)=1,1,0))</f>
        <v/>
      </c>
      <c r="I183" s="17" t="n"/>
      <c r="J183" s="17" t="n"/>
      <c r="K183" s="18" t="n"/>
      <c r="L183" s="17" t="n"/>
      <c r="M183">
        <f>IF(AND(B183&lt;&gt;"",B183='Por empresa'!$B$2),COUNTIF($B$2:B183,'Por empresa'!$B$2),"")</f>
        <v/>
      </c>
    </row>
    <row r="184">
      <c r="A184" s="17" t="n"/>
      <c r="B184" s="17">
        <f>IF(A184="","",IFERROR(VLOOKUP(A184,Notificações!$A:$B,2,FALSE),"ID não encontrado"))</f>
        <v/>
      </c>
      <c r="C184" s="17" t="n"/>
      <c r="D184" s="17" t="n"/>
      <c r="E184" s="17">
        <f>IF(D184="","",IFERROR(VLOOKUP(D184,Catálogo!$A:$D,2,FALSE),"Código não está no Catálogo"))</f>
        <v/>
      </c>
      <c r="F184" s="17">
        <f>IF(D184="","",IFERROR(VLOOKUP(D184,Catálogo!$A:$D,4,FALSE),""))</f>
        <v/>
      </c>
      <c r="G184" s="17" t="n"/>
      <c r="H184" s="17">
        <f>IF(D184="",0,IF(COUNTIFS($A$2:A184,A184,$D$2:D184,D184)=1,1,0))</f>
        <v/>
      </c>
      <c r="I184" s="17" t="n"/>
      <c r="J184" s="17" t="n"/>
      <c r="K184" s="18" t="n"/>
      <c r="L184" s="17" t="n"/>
      <c r="M184">
        <f>IF(AND(B184&lt;&gt;"",B184='Por empresa'!$B$2),COUNTIF($B$2:B184,'Por empresa'!$B$2),"")</f>
        <v/>
      </c>
    </row>
    <row r="185">
      <c r="A185" s="17" t="n"/>
      <c r="B185" s="17">
        <f>IF(A185="","",IFERROR(VLOOKUP(A185,Notificações!$A:$B,2,FALSE),"ID não encontrado"))</f>
        <v/>
      </c>
      <c r="C185" s="17" t="n"/>
      <c r="D185" s="17" t="n"/>
      <c r="E185" s="17">
        <f>IF(D185="","",IFERROR(VLOOKUP(D185,Catálogo!$A:$D,2,FALSE),"Código não está no Catálogo"))</f>
        <v/>
      </c>
      <c r="F185" s="17">
        <f>IF(D185="","",IFERROR(VLOOKUP(D185,Catálogo!$A:$D,4,FALSE),""))</f>
        <v/>
      </c>
      <c r="G185" s="17" t="n"/>
      <c r="H185" s="17">
        <f>IF(D185="",0,IF(COUNTIFS($A$2:A185,A185,$D$2:D185,D185)=1,1,0))</f>
        <v/>
      </c>
      <c r="I185" s="17" t="n"/>
      <c r="J185" s="17" t="n"/>
      <c r="K185" s="18" t="n"/>
      <c r="L185" s="17" t="n"/>
      <c r="M185">
        <f>IF(AND(B185&lt;&gt;"",B185='Por empresa'!$B$2),COUNTIF($B$2:B185,'Por empresa'!$B$2),"")</f>
        <v/>
      </c>
    </row>
    <row r="186">
      <c r="A186" s="17" t="n"/>
      <c r="B186" s="17">
        <f>IF(A186="","",IFERROR(VLOOKUP(A186,Notificações!$A:$B,2,FALSE),"ID não encontrado"))</f>
        <v/>
      </c>
      <c r="C186" s="17" t="n"/>
      <c r="D186" s="17" t="n"/>
      <c r="E186" s="17">
        <f>IF(D186="","",IFERROR(VLOOKUP(D186,Catálogo!$A:$D,2,FALSE),"Código não está no Catálogo"))</f>
        <v/>
      </c>
      <c r="F186" s="17">
        <f>IF(D186="","",IFERROR(VLOOKUP(D186,Catálogo!$A:$D,4,FALSE),""))</f>
        <v/>
      </c>
      <c r="G186" s="17" t="n"/>
      <c r="H186" s="17">
        <f>IF(D186="",0,IF(COUNTIFS($A$2:A186,A186,$D$2:D186,D186)=1,1,0))</f>
        <v/>
      </c>
      <c r="I186" s="17" t="n"/>
      <c r="J186" s="17" t="n"/>
      <c r="K186" s="18" t="n"/>
      <c r="L186" s="17" t="n"/>
      <c r="M186">
        <f>IF(AND(B186&lt;&gt;"",B186='Por empresa'!$B$2),COUNTIF($B$2:B186,'Por empresa'!$B$2),"")</f>
        <v/>
      </c>
    </row>
    <row r="187">
      <c r="A187" s="17" t="n"/>
      <c r="B187" s="17">
        <f>IF(A187="","",IFERROR(VLOOKUP(A187,Notificações!$A:$B,2,FALSE),"ID não encontrado"))</f>
        <v/>
      </c>
      <c r="C187" s="17" t="n"/>
      <c r="D187" s="17" t="n"/>
      <c r="E187" s="17">
        <f>IF(D187="","",IFERROR(VLOOKUP(D187,Catálogo!$A:$D,2,FALSE),"Código não está no Catálogo"))</f>
        <v/>
      </c>
      <c r="F187" s="17">
        <f>IF(D187="","",IFERROR(VLOOKUP(D187,Catálogo!$A:$D,4,FALSE),""))</f>
        <v/>
      </c>
      <c r="G187" s="17" t="n"/>
      <c r="H187" s="17">
        <f>IF(D187="",0,IF(COUNTIFS($A$2:A187,A187,$D$2:D187,D187)=1,1,0))</f>
        <v/>
      </c>
      <c r="I187" s="17" t="n"/>
      <c r="J187" s="17" t="n"/>
      <c r="K187" s="18" t="n"/>
      <c r="L187" s="17" t="n"/>
      <c r="M187">
        <f>IF(AND(B187&lt;&gt;"",B187='Por empresa'!$B$2),COUNTIF($B$2:B187,'Por empresa'!$B$2),"")</f>
        <v/>
      </c>
    </row>
    <row r="188">
      <c r="A188" s="17" t="n"/>
      <c r="B188" s="17">
        <f>IF(A188="","",IFERROR(VLOOKUP(A188,Notificações!$A:$B,2,FALSE),"ID não encontrado"))</f>
        <v/>
      </c>
      <c r="C188" s="17" t="n"/>
      <c r="D188" s="17" t="n"/>
      <c r="E188" s="17">
        <f>IF(D188="","",IFERROR(VLOOKUP(D188,Catálogo!$A:$D,2,FALSE),"Código não está no Catálogo"))</f>
        <v/>
      </c>
      <c r="F188" s="17">
        <f>IF(D188="","",IFERROR(VLOOKUP(D188,Catálogo!$A:$D,4,FALSE),""))</f>
        <v/>
      </c>
      <c r="G188" s="17" t="n"/>
      <c r="H188" s="17">
        <f>IF(D188="",0,IF(COUNTIFS($A$2:A188,A188,$D$2:D188,D188)=1,1,0))</f>
        <v/>
      </c>
      <c r="I188" s="17" t="n"/>
      <c r="J188" s="17" t="n"/>
      <c r="K188" s="18" t="n"/>
      <c r="L188" s="17" t="n"/>
      <c r="M188">
        <f>IF(AND(B188&lt;&gt;"",B188='Por empresa'!$B$2),COUNTIF($B$2:B188,'Por empresa'!$B$2),"")</f>
        <v/>
      </c>
    </row>
    <row r="189">
      <c r="A189" s="17" t="n"/>
      <c r="B189" s="17">
        <f>IF(A189="","",IFERROR(VLOOKUP(A189,Notificações!$A:$B,2,FALSE),"ID não encontrado"))</f>
        <v/>
      </c>
      <c r="C189" s="17" t="n"/>
      <c r="D189" s="17" t="n"/>
      <c r="E189" s="17">
        <f>IF(D189="","",IFERROR(VLOOKUP(D189,Catálogo!$A:$D,2,FALSE),"Código não está no Catálogo"))</f>
        <v/>
      </c>
      <c r="F189" s="17">
        <f>IF(D189="","",IFERROR(VLOOKUP(D189,Catálogo!$A:$D,4,FALSE),""))</f>
        <v/>
      </c>
      <c r="G189" s="17" t="n"/>
      <c r="H189" s="17">
        <f>IF(D189="",0,IF(COUNTIFS($A$2:A189,A189,$D$2:D189,D189)=1,1,0))</f>
        <v/>
      </c>
      <c r="I189" s="17" t="n"/>
      <c r="J189" s="17" t="n"/>
      <c r="K189" s="18" t="n"/>
      <c r="L189" s="17" t="n"/>
      <c r="M189">
        <f>IF(AND(B189&lt;&gt;"",B189='Por empresa'!$B$2),COUNTIF($B$2:B189,'Por empresa'!$B$2),"")</f>
        <v/>
      </c>
    </row>
    <row r="190">
      <c r="A190" s="17" t="n"/>
      <c r="B190" s="17">
        <f>IF(A190="","",IFERROR(VLOOKUP(A190,Notificações!$A:$B,2,FALSE),"ID não encontrado"))</f>
        <v/>
      </c>
      <c r="C190" s="17" t="n"/>
      <c r="D190" s="17" t="n"/>
      <c r="E190" s="17">
        <f>IF(D190="","",IFERROR(VLOOKUP(D190,Catálogo!$A:$D,2,FALSE),"Código não está no Catálogo"))</f>
        <v/>
      </c>
      <c r="F190" s="17">
        <f>IF(D190="","",IFERROR(VLOOKUP(D190,Catálogo!$A:$D,4,FALSE),""))</f>
        <v/>
      </c>
      <c r="G190" s="17" t="n"/>
      <c r="H190" s="17">
        <f>IF(D190="",0,IF(COUNTIFS($A$2:A190,A190,$D$2:D190,D190)=1,1,0))</f>
        <v/>
      </c>
      <c r="I190" s="17" t="n"/>
      <c r="J190" s="17" t="n"/>
      <c r="K190" s="18" t="n"/>
      <c r="L190" s="17" t="n"/>
      <c r="M190">
        <f>IF(AND(B190&lt;&gt;"",B190='Por empresa'!$B$2),COUNTIF($B$2:B190,'Por empresa'!$B$2),"")</f>
        <v/>
      </c>
    </row>
    <row r="191">
      <c r="A191" s="17" t="n"/>
      <c r="B191" s="17">
        <f>IF(A191="","",IFERROR(VLOOKUP(A191,Notificações!$A:$B,2,FALSE),"ID não encontrado"))</f>
        <v/>
      </c>
      <c r="C191" s="17" t="n"/>
      <c r="D191" s="17" t="n"/>
      <c r="E191" s="17">
        <f>IF(D191="","",IFERROR(VLOOKUP(D191,Catálogo!$A:$D,2,FALSE),"Código não está no Catálogo"))</f>
        <v/>
      </c>
      <c r="F191" s="17">
        <f>IF(D191="","",IFERROR(VLOOKUP(D191,Catálogo!$A:$D,4,FALSE),""))</f>
        <v/>
      </c>
      <c r="G191" s="17" t="n"/>
      <c r="H191" s="17">
        <f>IF(D191="",0,IF(COUNTIFS($A$2:A191,A191,$D$2:D191,D191)=1,1,0))</f>
        <v/>
      </c>
      <c r="I191" s="17" t="n"/>
      <c r="J191" s="17" t="n"/>
      <c r="K191" s="18" t="n"/>
      <c r="L191" s="17" t="n"/>
      <c r="M191">
        <f>IF(AND(B191&lt;&gt;"",B191='Por empresa'!$B$2),COUNTIF($B$2:B191,'Por empresa'!$B$2),"")</f>
        <v/>
      </c>
    </row>
    <row r="192">
      <c r="A192" s="17" t="n"/>
      <c r="B192" s="17">
        <f>IF(A192="","",IFERROR(VLOOKUP(A192,Notificações!$A:$B,2,FALSE),"ID não encontrado"))</f>
        <v/>
      </c>
      <c r="C192" s="17" t="n"/>
      <c r="D192" s="17" t="n"/>
      <c r="E192" s="17">
        <f>IF(D192="","",IFERROR(VLOOKUP(D192,Catálogo!$A:$D,2,FALSE),"Código não está no Catálogo"))</f>
        <v/>
      </c>
      <c r="F192" s="17">
        <f>IF(D192="","",IFERROR(VLOOKUP(D192,Catálogo!$A:$D,4,FALSE),""))</f>
        <v/>
      </c>
      <c r="G192" s="17" t="n"/>
      <c r="H192" s="17">
        <f>IF(D192="",0,IF(COUNTIFS($A$2:A192,A192,$D$2:D192,D192)=1,1,0))</f>
        <v/>
      </c>
      <c r="I192" s="17" t="n"/>
      <c r="J192" s="17" t="n"/>
      <c r="K192" s="18" t="n"/>
      <c r="L192" s="17" t="n"/>
      <c r="M192">
        <f>IF(AND(B192&lt;&gt;"",B192='Por empresa'!$B$2),COUNTIF($B$2:B192,'Por empresa'!$B$2),"")</f>
        <v/>
      </c>
    </row>
    <row r="193">
      <c r="A193" s="17" t="n"/>
      <c r="B193" s="17">
        <f>IF(A193="","",IFERROR(VLOOKUP(A193,Notificações!$A:$B,2,FALSE),"ID não encontrado"))</f>
        <v/>
      </c>
      <c r="C193" s="17" t="n"/>
      <c r="D193" s="17" t="n"/>
      <c r="E193" s="17">
        <f>IF(D193="","",IFERROR(VLOOKUP(D193,Catálogo!$A:$D,2,FALSE),"Código não está no Catálogo"))</f>
        <v/>
      </c>
      <c r="F193" s="17">
        <f>IF(D193="","",IFERROR(VLOOKUP(D193,Catálogo!$A:$D,4,FALSE),""))</f>
        <v/>
      </c>
      <c r="G193" s="17" t="n"/>
      <c r="H193" s="17">
        <f>IF(D193="",0,IF(COUNTIFS($A$2:A193,A193,$D$2:D193,D193)=1,1,0))</f>
        <v/>
      </c>
      <c r="I193" s="17" t="n"/>
      <c r="J193" s="17" t="n"/>
      <c r="K193" s="18" t="n"/>
      <c r="L193" s="17" t="n"/>
      <c r="M193">
        <f>IF(AND(B193&lt;&gt;"",B193='Por empresa'!$B$2),COUNTIF($B$2:B193,'Por empresa'!$B$2),"")</f>
        <v/>
      </c>
    </row>
    <row r="194">
      <c r="A194" s="17" t="n"/>
      <c r="B194" s="17">
        <f>IF(A194="","",IFERROR(VLOOKUP(A194,Notificações!$A:$B,2,FALSE),"ID não encontrado"))</f>
        <v/>
      </c>
      <c r="C194" s="17" t="n"/>
      <c r="D194" s="17" t="n"/>
      <c r="E194" s="17">
        <f>IF(D194="","",IFERROR(VLOOKUP(D194,Catálogo!$A:$D,2,FALSE),"Código não está no Catálogo"))</f>
        <v/>
      </c>
      <c r="F194" s="17">
        <f>IF(D194="","",IFERROR(VLOOKUP(D194,Catálogo!$A:$D,4,FALSE),""))</f>
        <v/>
      </c>
      <c r="G194" s="17" t="n"/>
      <c r="H194" s="17">
        <f>IF(D194="",0,IF(COUNTIFS($A$2:A194,A194,$D$2:D194,D194)=1,1,0))</f>
        <v/>
      </c>
      <c r="I194" s="17" t="n"/>
      <c r="J194" s="17" t="n"/>
      <c r="K194" s="18" t="n"/>
      <c r="L194" s="17" t="n"/>
      <c r="M194">
        <f>IF(AND(B194&lt;&gt;"",B194='Por empresa'!$B$2),COUNTIF($B$2:B194,'Por empresa'!$B$2),"")</f>
        <v/>
      </c>
    </row>
    <row r="195">
      <c r="A195" s="17" t="n"/>
      <c r="B195" s="17">
        <f>IF(A195="","",IFERROR(VLOOKUP(A195,Notificações!$A:$B,2,FALSE),"ID não encontrado"))</f>
        <v/>
      </c>
      <c r="C195" s="17" t="n"/>
      <c r="D195" s="17" t="n"/>
      <c r="E195" s="17">
        <f>IF(D195="","",IFERROR(VLOOKUP(D195,Catálogo!$A:$D,2,FALSE),"Código não está no Catálogo"))</f>
        <v/>
      </c>
      <c r="F195" s="17">
        <f>IF(D195="","",IFERROR(VLOOKUP(D195,Catálogo!$A:$D,4,FALSE),""))</f>
        <v/>
      </c>
      <c r="G195" s="17" t="n"/>
      <c r="H195" s="17">
        <f>IF(D195="",0,IF(COUNTIFS($A$2:A195,A195,$D$2:D195,D195)=1,1,0))</f>
        <v/>
      </c>
      <c r="I195" s="17" t="n"/>
      <c r="J195" s="17" t="n"/>
      <c r="K195" s="18" t="n"/>
      <c r="L195" s="17" t="n"/>
      <c r="M195">
        <f>IF(AND(B195&lt;&gt;"",B195='Por empresa'!$B$2),COUNTIF($B$2:B195,'Por empresa'!$B$2),"")</f>
        <v/>
      </c>
    </row>
    <row r="196">
      <c r="A196" s="17" t="n"/>
      <c r="B196" s="17">
        <f>IF(A196="","",IFERROR(VLOOKUP(A196,Notificações!$A:$B,2,FALSE),"ID não encontrado"))</f>
        <v/>
      </c>
      <c r="C196" s="17" t="n"/>
      <c r="D196" s="17" t="n"/>
      <c r="E196" s="17">
        <f>IF(D196="","",IFERROR(VLOOKUP(D196,Catálogo!$A:$D,2,FALSE),"Código não está no Catálogo"))</f>
        <v/>
      </c>
      <c r="F196" s="17">
        <f>IF(D196="","",IFERROR(VLOOKUP(D196,Catálogo!$A:$D,4,FALSE),""))</f>
        <v/>
      </c>
      <c r="G196" s="17" t="n"/>
      <c r="H196" s="17">
        <f>IF(D196="",0,IF(COUNTIFS($A$2:A196,A196,$D$2:D196,D196)=1,1,0))</f>
        <v/>
      </c>
      <c r="I196" s="17" t="n"/>
      <c r="J196" s="17" t="n"/>
      <c r="K196" s="18" t="n"/>
      <c r="L196" s="17" t="n"/>
      <c r="M196">
        <f>IF(AND(B196&lt;&gt;"",B196='Por empresa'!$B$2),COUNTIF($B$2:B196,'Por empresa'!$B$2),"")</f>
        <v/>
      </c>
    </row>
    <row r="197">
      <c r="A197" s="17" t="n"/>
      <c r="B197" s="17">
        <f>IF(A197="","",IFERROR(VLOOKUP(A197,Notificações!$A:$B,2,FALSE),"ID não encontrado"))</f>
        <v/>
      </c>
      <c r="C197" s="17" t="n"/>
      <c r="D197" s="17" t="n"/>
      <c r="E197" s="17">
        <f>IF(D197="","",IFERROR(VLOOKUP(D197,Catálogo!$A:$D,2,FALSE),"Código não está no Catálogo"))</f>
        <v/>
      </c>
      <c r="F197" s="17">
        <f>IF(D197="","",IFERROR(VLOOKUP(D197,Catálogo!$A:$D,4,FALSE),""))</f>
        <v/>
      </c>
      <c r="G197" s="17" t="n"/>
      <c r="H197" s="17">
        <f>IF(D197="",0,IF(COUNTIFS($A$2:A197,A197,$D$2:D197,D197)=1,1,0))</f>
        <v/>
      </c>
      <c r="I197" s="17" t="n"/>
      <c r="J197" s="17" t="n"/>
      <c r="K197" s="18" t="n"/>
      <c r="L197" s="17" t="n"/>
      <c r="M197">
        <f>IF(AND(B197&lt;&gt;"",B197='Por empresa'!$B$2),COUNTIF($B$2:B197,'Por empresa'!$B$2),"")</f>
        <v/>
      </c>
    </row>
    <row r="198">
      <c r="A198" s="17" t="n"/>
      <c r="B198" s="17">
        <f>IF(A198="","",IFERROR(VLOOKUP(A198,Notificações!$A:$B,2,FALSE),"ID não encontrado"))</f>
        <v/>
      </c>
      <c r="C198" s="17" t="n"/>
      <c r="D198" s="17" t="n"/>
      <c r="E198" s="17">
        <f>IF(D198="","",IFERROR(VLOOKUP(D198,Catálogo!$A:$D,2,FALSE),"Código não está no Catálogo"))</f>
        <v/>
      </c>
      <c r="F198" s="17">
        <f>IF(D198="","",IFERROR(VLOOKUP(D198,Catálogo!$A:$D,4,FALSE),""))</f>
        <v/>
      </c>
      <c r="G198" s="17" t="n"/>
      <c r="H198" s="17">
        <f>IF(D198="",0,IF(COUNTIFS($A$2:A198,A198,$D$2:D198,D198)=1,1,0))</f>
        <v/>
      </c>
      <c r="I198" s="17" t="n"/>
      <c r="J198" s="17" t="n"/>
      <c r="K198" s="18" t="n"/>
      <c r="L198" s="17" t="n"/>
      <c r="M198">
        <f>IF(AND(B198&lt;&gt;"",B198='Por empresa'!$B$2),COUNTIF($B$2:B198,'Por empresa'!$B$2),"")</f>
        <v/>
      </c>
    </row>
    <row r="199">
      <c r="A199" s="17" t="n"/>
      <c r="B199" s="17">
        <f>IF(A199="","",IFERROR(VLOOKUP(A199,Notificações!$A:$B,2,FALSE),"ID não encontrado"))</f>
        <v/>
      </c>
      <c r="C199" s="17" t="n"/>
      <c r="D199" s="17" t="n"/>
      <c r="E199" s="17">
        <f>IF(D199="","",IFERROR(VLOOKUP(D199,Catálogo!$A:$D,2,FALSE),"Código não está no Catálogo"))</f>
        <v/>
      </c>
      <c r="F199" s="17">
        <f>IF(D199="","",IFERROR(VLOOKUP(D199,Catálogo!$A:$D,4,FALSE),""))</f>
        <v/>
      </c>
      <c r="G199" s="17" t="n"/>
      <c r="H199" s="17">
        <f>IF(D199="",0,IF(COUNTIFS($A$2:A199,A199,$D$2:D199,D199)=1,1,0))</f>
        <v/>
      </c>
      <c r="I199" s="17" t="n"/>
      <c r="J199" s="17" t="n"/>
      <c r="K199" s="18" t="n"/>
      <c r="L199" s="17" t="n"/>
      <c r="M199">
        <f>IF(AND(B199&lt;&gt;"",B199='Por empresa'!$B$2),COUNTIF($B$2:B199,'Por empresa'!$B$2),"")</f>
        <v/>
      </c>
    </row>
    <row r="200">
      <c r="A200" s="17" t="n"/>
      <c r="B200" s="17">
        <f>IF(A200="","",IFERROR(VLOOKUP(A200,Notificações!$A:$B,2,FALSE),"ID não encontrado"))</f>
        <v/>
      </c>
      <c r="C200" s="17" t="n"/>
      <c r="D200" s="17" t="n"/>
      <c r="E200" s="17">
        <f>IF(D200="","",IFERROR(VLOOKUP(D200,Catálogo!$A:$D,2,FALSE),"Código não está no Catálogo"))</f>
        <v/>
      </c>
      <c r="F200" s="17">
        <f>IF(D200="","",IFERROR(VLOOKUP(D200,Catálogo!$A:$D,4,FALSE),""))</f>
        <v/>
      </c>
      <c r="G200" s="17" t="n"/>
      <c r="H200" s="17">
        <f>IF(D200="",0,IF(COUNTIFS($A$2:A200,A200,$D$2:D200,D200)=1,1,0))</f>
        <v/>
      </c>
      <c r="I200" s="17" t="n"/>
      <c r="J200" s="17" t="n"/>
      <c r="K200" s="18" t="n"/>
      <c r="L200" s="17" t="n"/>
      <c r="M200">
        <f>IF(AND(B200&lt;&gt;"",B200='Por empresa'!$B$2),COUNTIF($B$2:B200,'Por empresa'!$B$2),"")</f>
        <v/>
      </c>
    </row>
    <row r="201">
      <c r="A201" s="17" t="n"/>
      <c r="B201" s="17">
        <f>IF(A201="","",IFERROR(VLOOKUP(A201,Notificações!$A:$B,2,FALSE),"ID não encontrado"))</f>
        <v/>
      </c>
      <c r="C201" s="17" t="n"/>
      <c r="D201" s="17" t="n"/>
      <c r="E201" s="17">
        <f>IF(D201="","",IFERROR(VLOOKUP(D201,Catálogo!$A:$D,2,FALSE),"Código não está no Catálogo"))</f>
        <v/>
      </c>
      <c r="F201" s="17">
        <f>IF(D201="","",IFERROR(VLOOKUP(D201,Catálogo!$A:$D,4,FALSE),""))</f>
        <v/>
      </c>
      <c r="G201" s="17" t="n"/>
      <c r="H201" s="17">
        <f>IF(D201="",0,IF(COUNTIFS($A$2:A201,A201,$D$2:D201,D201)=1,1,0))</f>
        <v/>
      </c>
      <c r="I201" s="17" t="n"/>
      <c r="J201" s="17" t="n"/>
      <c r="K201" s="18" t="n"/>
      <c r="L201" s="17" t="n"/>
      <c r="M201">
        <f>IF(AND(B201&lt;&gt;"",B201='Por empresa'!$B$2),COUNTIF($B$2:B201,'Por empresa'!$B$2),"")</f>
        <v/>
      </c>
    </row>
    <row r="202">
      <c r="A202" s="17" t="n"/>
      <c r="B202" s="17">
        <f>IF(A202="","",IFERROR(VLOOKUP(A202,Notificações!$A:$B,2,FALSE),"ID não encontrado"))</f>
        <v/>
      </c>
      <c r="C202" s="17" t="n"/>
      <c r="D202" s="17" t="n"/>
      <c r="E202" s="17">
        <f>IF(D202="","",IFERROR(VLOOKUP(D202,Catálogo!$A:$D,2,FALSE),"Código não está no Catálogo"))</f>
        <v/>
      </c>
      <c r="F202" s="17">
        <f>IF(D202="","",IFERROR(VLOOKUP(D202,Catálogo!$A:$D,4,FALSE),""))</f>
        <v/>
      </c>
      <c r="G202" s="17" t="n"/>
      <c r="H202" s="17">
        <f>IF(D202="",0,IF(COUNTIFS($A$2:A202,A202,$D$2:D202,D202)=1,1,0))</f>
        <v/>
      </c>
      <c r="I202" s="17" t="n"/>
      <c r="J202" s="17" t="n"/>
      <c r="K202" s="18" t="n"/>
      <c r="L202" s="17" t="n"/>
      <c r="M202">
        <f>IF(AND(B202&lt;&gt;"",B202='Por empresa'!$B$2),COUNTIF($B$2:B202,'Por empresa'!$B$2),"")</f>
        <v/>
      </c>
    </row>
    <row r="203">
      <c r="A203" s="17" t="n"/>
      <c r="B203" s="17">
        <f>IF(A203="","",IFERROR(VLOOKUP(A203,Notificações!$A:$B,2,FALSE),"ID não encontrado"))</f>
        <v/>
      </c>
      <c r="C203" s="17" t="n"/>
      <c r="D203" s="17" t="n"/>
      <c r="E203" s="17">
        <f>IF(D203="","",IFERROR(VLOOKUP(D203,Catálogo!$A:$D,2,FALSE),"Código não está no Catálogo"))</f>
        <v/>
      </c>
      <c r="F203" s="17">
        <f>IF(D203="","",IFERROR(VLOOKUP(D203,Catálogo!$A:$D,4,FALSE),""))</f>
        <v/>
      </c>
      <c r="G203" s="17" t="n"/>
      <c r="H203" s="17">
        <f>IF(D203="",0,IF(COUNTIFS($A$2:A203,A203,$D$2:D203,D203)=1,1,0))</f>
        <v/>
      </c>
      <c r="I203" s="17" t="n"/>
      <c r="J203" s="17" t="n"/>
      <c r="K203" s="18" t="n"/>
      <c r="L203" s="17" t="n"/>
      <c r="M203">
        <f>IF(AND(B203&lt;&gt;"",B203='Por empresa'!$B$2),COUNTIF($B$2:B203,'Por empresa'!$B$2),"")</f>
        <v/>
      </c>
    </row>
    <row r="204">
      <c r="A204" s="17" t="n"/>
      <c r="B204" s="17">
        <f>IF(A204="","",IFERROR(VLOOKUP(A204,Notificações!$A:$B,2,FALSE),"ID não encontrado"))</f>
        <v/>
      </c>
      <c r="C204" s="17" t="n"/>
      <c r="D204" s="17" t="n"/>
      <c r="E204" s="17">
        <f>IF(D204="","",IFERROR(VLOOKUP(D204,Catálogo!$A:$D,2,FALSE),"Código não está no Catálogo"))</f>
        <v/>
      </c>
      <c r="F204" s="17">
        <f>IF(D204="","",IFERROR(VLOOKUP(D204,Catálogo!$A:$D,4,FALSE),""))</f>
        <v/>
      </c>
      <c r="G204" s="17" t="n"/>
      <c r="H204" s="17">
        <f>IF(D204="",0,IF(COUNTIFS($A$2:A204,A204,$D$2:D204,D204)=1,1,0))</f>
        <v/>
      </c>
      <c r="I204" s="17" t="n"/>
      <c r="J204" s="17" t="n"/>
      <c r="K204" s="18" t="n"/>
      <c r="L204" s="17" t="n"/>
      <c r="M204">
        <f>IF(AND(B204&lt;&gt;"",B204='Por empresa'!$B$2),COUNTIF($B$2:B204,'Por empresa'!$B$2),"")</f>
        <v/>
      </c>
    </row>
    <row r="205">
      <c r="A205" s="17" t="n"/>
      <c r="B205" s="17">
        <f>IF(A205="","",IFERROR(VLOOKUP(A205,Notificações!$A:$B,2,FALSE),"ID não encontrado"))</f>
        <v/>
      </c>
      <c r="C205" s="17" t="n"/>
      <c r="D205" s="17" t="n"/>
      <c r="E205" s="17">
        <f>IF(D205="","",IFERROR(VLOOKUP(D205,Catálogo!$A:$D,2,FALSE),"Código não está no Catálogo"))</f>
        <v/>
      </c>
      <c r="F205" s="17">
        <f>IF(D205="","",IFERROR(VLOOKUP(D205,Catálogo!$A:$D,4,FALSE),""))</f>
        <v/>
      </c>
      <c r="G205" s="17" t="n"/>
      <c r="H205" s="17">
        <f>IF(D205="",0,IF(COUNTIFS($A$2:A205,A205,$D$2:D205,D205)=1,1,0))</f>
        <v/>
      </c>
      <c r="I205" s="17" t="n"/>
      <c r="J205" s="17" t="n"/>
      <c r="K205" s="18" t="n"/>
      <c r="L205" s="17" t="n"/>
      <c r="M205">
        <f>IF(AND(B205&lt;&gt;"",B205='Por empresa'!$B$2),COUNTIF($B$2:B205,'Por empresa'!$B$2),"")</f>
        <v/>
      </c>
    </row>
    <row r="206">
      <c r="A206" s="17" t="n"/>
      <c r="B206" s="17">
        <f>IF(A206="","",IFERROR(VLOOKUP(A206,Notificações!$A:$B,2,FALSE),"ID não encontrado"))</f>
        <v/>
      </c>
      <c r="C206" s="17" t="n"/>
      <c r="D206" s="17" t="n"/>
      <c r="E206" s="17">
        <f>IF(D206="","",IFERROR(VLOOKUP(D206,Catálogo!$A:$D,2,FALSE),"Código não está no Catálogo"))</f>
        <v/>
      </c>
      <c r="F206" s="17">
        <f>IF(D206="","",IFERROR(VLOOKUP(D206,Catálogo!$A:$D,4,FALSE),""))</f>
        <v/>
      </c>
      <c r="G206" s="17" t="n"/>
      <c r="H206" s="17">
        <f>IF(D206="",0,IF(COUNTIFS($A$2:A206,A206,$D$2:D206,D206)=1,1,0))</f>
        <v/>
      </c>
      <c r="I206" s="17" t="n"/>
      <c r="J206" s="17" t="n"/>
      <c r="K206" s="18" t="n"/>
      <c r="L206" s="17" t="n"/>
      <c r="M206">
        <f>IF(AND(B206&lt;&gt;"",B206='Por empresa'!$B$2),COUNTIF($B$2:B206,'Por empresa'!$B$2),"")</f>
        <v/>
      </c>
    </row>
    <row r="207">
      <c r="A207" s="17" t="n"/>
      <c r="B207" s="17">
        <f>IF(A207="","",IFERROR(VLOOKUP(A207,Notificações!$A:$B,2,FALSE),"ID não encontrado"))</f>
        <v/>
      </c>
      <c r="C207" s="17" t="n"/>
      <c r="D207" s="17" t="n"/>
      <c r="E207" s="17">
        <f>IF(D207="","",IFERROR(VLOOKUP(D207,Catálogo!$A:$D,2,FALSE),"Código não está no Catálogo"))</f>
        <v/>
      </c>
      <c r="F207" s="17">
        <f>IF(D207="","",IFERROR(VLOOKUP(D207,Catálogo!$A:$D,4,FALSE),""))</f>
        <v/>
      </c>
      <c r="G207" s="17" t="n"/>
      <c r="H207" s="17">
        <f>IF(D207="",0,IF(COUNTIFS($A$2:A207,A207,$D$2:D207,D207)=1,1,0))</f>
        <v/>
      </c>
      <c r="I207" s="17" t="n"/>
      <c r="J207" s="17" t="n"/>
      <c r="K207" s="18" t="n"/>
      <c r="L207" s="17" t="n"/>
      <c r="M207">
        <f>IF(AND(B207&lt;&gt;"",B207='Por empresa'!$B$2),COUNTIF($B$2:B207,'Por empresa'!$B$2),"")</f>
        <v/>
      </c>
    </row>
    <row r="208">
      <c r="A208" s="17" t="n"/>
      <c r="B208" s="17">
        <f>IF(A208="","",IFERROR(VLOOKUP(A208,Notificações!$A:$B,2,FALSE),"ID não encontrado"))</f>
        <v/>
      </c>
      <c r="C208" s="17" t="n"/>
      <c r="D208" s="17" t="n"/>
      <c r="E208" s="17">
        <f>IF(D208="","",IFERROR(VLOOKUP(D208,Catálogo!$A:$D,2,FALSE),"Código não está no Catálogo"))</f>
        <v/>
      </c>
      <c r="F208" s="17">
        <f>IF(D208="","",IFERROR(VLOOKUP(D208,Catálogo!$A:$D,4,FALSE),""))</f>
        <v/>
      </c>
      <c r="G208" s="17" t="n"/>
      <c r="H208" s="17">
        <f>IF(D208="",0,IF(COUNTIFS($A$2:A208,A208,$D$2:D208,D208)=1,1,0))</f>
        <v/>
      </c>
      <c r="I208" s="17" t="n"/>
      <c r="J208" s="17" t="n"/>
      <c r="K208" s="18" t="n"/>
      <c r="L208" s="17" t="n"/>
      <c r="M208">
        <f>IF(AND(B208&lt;&gt;"",B208='Por empresa'!$B$2),COUNTIF($B$2:B208,'Por empresa'!$B$2),"")</f>
        <v/>
      </c>
    </row>
    <row r="209">
      <c r="A209" s="17" t="n"/>
      <c r="B209" s="17">
        <f>IF(A209="","",IFERROR(VLOOKUP(A209,Notificações!$A:$B,2,FALSE),"ID não encontrado"))</f>
        <v/>
      </c>
      <c r="C209" s="17" t="n"/>
      <c r="D209" s="17" t="n"/>
      <c r="E209" s="17">
        <f>IF(D209="","",IFERROR(VLOOKUP(D209,Catálogo!$A:$D,2,FALSE),"Código não está no Catálogo"))</f>
        <v/>
      </c>
      <c r="F209" s="17">
        <f>IF(D209="","",IFERROR(VLOOKUP(D209,Catálogo!$A:$D,4,FALSE),""))</f>
        <v/>
      </c>
      <c r="G209" s="17" t="n"/>
      <c r="H209" s="17">
        <f>IF(D209="",0,IF(COUNTIFS($A$2:A209,A209,$D$2:D209,D209)=1,1,0))</f>
        <v/>
      </c>
      <c r="I209" s="17" t="n"/>
      <c r="J209" s="17" t="n"/>
      <c r="K209" s="18" t="n"/>
      <c r="L209" s="17" t="n"/>
      <c r="M209">
        <f>IF(AND(B209&lt;&gt;"",B209='Por empresa'!$B$2),COUNTIF($B$2:B209,'Por empresa'!$B$2),"")</f>
        <v/>
      </c>
    </row>
    <row r="210">
      <c r="A210" s="17" t="n"/>
      <c r="B210" s="17">
        <f>IF(A210="","",IFERROR(VLOOKUP(A210,Notificações!$A:$B,2,FALSE),"ID não encontrado"))</f>
        <v/>
      </c>
      <c r="C210" s="17" t="n"/>
      <c r="D210" s="17" t="n"/>
      <c r="E210" s="17">
        <f>IF(D210="","",IFERROR(VLOOKUP(D210,Catálogo!$A:$D,2,FALSE),"Código não está no Catálogo"))</f>
        <v/>
      </c>
      <c r="F210" s="17">
        <f>IF(D210="","",IFERROR(VLOOKUP(D210,Catálogo!$A:$D,4,FALSE),""))</f>
        <v/>
      </c>
      <c r="G210" s="17" t="n"/>
      <c r="H210" s="17">
        <f>IF(D210="",0,IF(COUNTIFS($A$2:A210,A210,$D$2:D210,D210)=1,1,0))</f>
        <v/>
      </c>
      <c r="I210" s="17" t="n"/>
      <c r="J210" s="17" t="n"/>
      <c r="K210" s="18" t="n"/>
      <c r="L210" s="17" t="n"/>
      <c r="M210">
        <f>IF(AND(B210&lt;&gt;"",B210='Por empresa'!$B$2),COUNTIF($B$2:B210,'Por empresa'!$B$2),"")</f>
        <v/>
      </c>
    </row>
    <row r="211">
      <c r="A211" s="17" t="n"/>
      <c r="B211" s="17">
        <f>IF(A211="","",IFERROR(VLOOKUP(A211,Notificações!$A:$B,2,FALSE),"ID não encontrado"))</f>
        <v/>
      </c>
      <c r="C211" s="17" t="n"/>
      <c r="D211" s="17" t="n"/>
      <c r="E211" s="17">
        <f>IF(D211="","",IFERROR(VLOOKUP(D211,Catálogo!$A:$D,2,FALSE),"Código não está no Catálogo"))</f>
        <v/>
      </c>
      <c r="F211" s="17">
        <f>IF(D211="","",IFERROR(VLOOKUP(D211,Catálogo!$A:$D,4,FALSE),""))</f>
        <v/>
      </c>
      <c r="G211" s="17" t="n"/>
      <c r="H211" s="17">
        <f>IF(D211="",0,IF(COUNTIFS($A$2:A211,A211,$D$2:D211,D211)=1,1,0))</f>
        <v/>
      </c>
      <c r="I211" s="17" t="n"/>
      <c r="J211" s="17" t="n"/>
      <c r="K211" s="18" t="n"/>
      <c r="L211" s="17" t="n"/>
      <c r="M211">
        <f>IF(AND(B211&lt;&gt;"",B211='Por empresa'!$B$2),COUNTIF($B$2:B211,'Por empresa'!$B$2),"")</f>
        <v/>
      </c>
    </row>
    <row r="212">
      <c r="A212" s="17" t="n"/>
      <c r="B212" s="17">
        <f>IF(A212="","",IFERROR(VLOOKUP(A212,Notificações!$A:$B,2,FALSE),"ID não encontrado"))</f>
        <v/>
      </c>
      <c r="C212" s="17" t="n"/>
      <c r="D212" s="17" t="n"/>
      <c r="E212" s="17">
        <f>IF(D212="","",IFERROR(VLOOKUP(D212,Catálogo!$A:$D,2,FALSE),"Código não está no Catálogo"))</f>
        <v/>
      </c>
      <c r="F212" s="17">
        <f>IF(D212="","",IFERROR(VLOOKUP(D212,Catálogo!$A:$D,4,FALSE),""))</f>
        <v/>
      </c>
      <c r="G212" s="17" t="n"/>
      <c r="H212" s="17">
        <f>IF(D212="",0,IF(COUNTIFS($A$2:A212,A212,$D$2:D212,D212)=1,1,0))</f>
        <v/>
      </c>
      <c r="I212" s="17" t="n"/>
      <c r="J212" s="17" t="n"/>
      <c r="K212" s="18" t="n"/>
      <c r="L212" s="17" t="n"/>
      <c r="M212">
        <f>IF(AND(B212&lt;&gt;"",B212='Por empresa'!$B$2),COUNTIF($B$2:B212,'Por empresa'!$B$2),"")</f>
        <v/>
      </c>
    </row>
    <row r="213">
      <c r="A213" s="17" t="n"/>
      <c r="B213" s="17">
        <f>IF(A213="","",IFERROR(VLOOKUP(A213,Notificações!$A:$B,2,FALSE),"ID não encontrado"))</f>
        <v/>
      </c>
      <c r="C213" s="17" t="n"/>
      <c r="D213" s="17" t="n"/>
      <c r="E213" s="17">
        <f>IF(D213="","",IFERROR(VLOOKUP(D213,Catálogo!$A:$D,2,FALSE),"Código não está no Catálogo"))</f>
        <v/>
      </c>
      <c r="F213" s="17">
        <f>IF(D213="","",IFERROR(VLOOKUP(D213,Catálogo!$A:$D,4,FALSE),""))</f>
        <v/>
      </c>
      <c r="G213" s="17" t="n"/>
      <c r="H213" s="17">
        <f>IF(D213="",0,IF(COUNTIFS($A$2:A213,A213,$D$2:D213,D213)=1,1,0))</f>
        <v/>
      </c>
      <c r="I213" s="17" t="n"/>
      <c r="J213" s="17" t="n"/>
      <c r="K213" s="18" t="n"/>
      <c r="L213" s="17" t="n"/>
      <c r="M213">
        <f>IF(AND(B213&lt;&gt;"",B213='Por empresa'!$B$2),COUNTIF($B$2:B213,'Por empresa'!$B$2),"")</f>
        <v/>
      </c>
    </row>
    <row r="214">
      <c r="A214" s="17" t="n"/>
      <c r="B214" s="17">
        <f>IF(A214="","",IFERROR(VLOOKUP(A214,Notificações!$A:$B,2,FALSE),"ID não encontrado"))</f>
        <v/>
      </c>
      <c r="C214" s="17" t="n"/>
      <c r="D214" s="17" t="n"/>
      <c r="E214" s="17">
        <f>IF(D214="","",IFERROR(VLOOKUP(D214,Catálogo!$A:$D,2,FALSE),"Código não está no Catálogo"))</f>
        <v/>
      </c>
      <c r="F214" s="17">
        <f>IF(D214="","",IFERROR(VLOOKUP(D214,Catálogo!$A:$D,4,FALSE),""))</f>
        <v/>
      </c>
      <c r="G214" s="17" t="n"/>
      <c r="H214" s="17">
        <f>IF(D214="",0,IF(COUNTIFS($A$2:A214,A214,$D$2:D214,D214)=1,1,0))</f>
        <v/>
      </c>
      <c r="I214" s="17" t="n"/>
      <c r="J214" s="17" t="n"/>
      <c r="K214" s="18" t="n"/>
      <c r="L214" s="17" t="n"/>
      <c r="M214">
        <f>IF(AND(B214&lt;&gt;"",B214='Por empresa'!$B$2),COUNTIF($B$2:B214,'Por empresa'!$B$2),"")</f>
        <v/>
      </c>
    </row>
    <row r="215">
      <c r="A215" s="17" t="n"/>
      <c r="B215" s="17">
        <f>IF(A215="","",IFERROR(VLOOKUP(A215,Notificações!$A:$B,2,FALSE),"ID não encontrado"))</f>
        <v/>
      </c>
      <c r="C215" s="17" t="n"/>
      <c r="D215" s="17" t="n"/>
      <c r="E215" s="17">
        <f>IF(D215="","",IFERROR(VLOOKUP(D215,Catálogo!$A:$D,2,FALSE),"Código não está no Catálogo"))</f>
        <v/>
      </c>
      <c r="F215" s="17">
        <f>IF(D215="","",IFERROR(VLOOKUP(D215,Catálogo!$A:$D,4,FALSE),""))</f>
        <v/>
      </c>
      <c r="G215" s="17" t="n"/>
      <c r="H215" s="17">
        <f>IF(D215="",0,IF(COUNTIFS($A$2:A215,A215,$D$2:D215,D215)=1,1,0))</f>
        <v/>
      </c>
      <c r="I215" s="17" t="n"/>
      <c r="J215" s="17" t="n"/>
      <c r="K215" s="18" t="n"/>
      <c r="L215" s="17" t="n"/>
      <c r="M215">
        <f>IF(AND(B215&lt;&gt;"",B215='Por empresa'!$B$2),COUNTIF($B$2:B215,'Por empresa'!$B$2),"")</f>
        <v/>
      </c>
    </row>
    <row r="216">
      <c r="A216" s="17" t="n"/>
      <c r="B216" s="17">
        <f>IF(A216="","",IFERROR(VLOOKUP(A216,Notificações!$A:$B,2,FALSE),"ID não encontrado"))</f>
        <v/>
      </c>
      <c r="C216" s="17" t="n"/>
      <c r="D216" s="17" t="n"/>
      <c r="E216" s="17">
        <f>IF(D216="","",IFERROR(VLOOKUP(D216,Catálogo!$A:$D,2,FALSE),"Código não está no Catálogo"))</f>
        <v/>
      </c>
      <c r="F216" s="17">
        <f>IF(D216="","",IFERROR(VLOOKUP(D216,Catálogo!$A:$D,4,FALSE),""))</f>
        <v/>
      </c>
      <c r="G216" s="17" t="n"/>
      <c r="H216" s="17">
        <f>IF(D216="",0,IF(COUNTIFS($A$2:A216,A216,$D$2:D216,D216)=1,1,0))</f>
        <v/>
      </c>
      <c r="I216" s="17" t="n"/>
      <c r="J216" s="17" t="n"/>
      <c r="K216" s="18" t="n"/>
      <c r="L216" s="17" t="n"/>
      <c r="M216">
        <f>IF(AND(B216&lt;&gt;"",B216='Por empresa'!$B$2),COUNTIF($B$2:B216,'Por empresa'!$B$2),"")</f>
        <v/>
      </c>
    </row>
    <row r="217">
      <c r="A217" s="17" t="n"/>
      <c r="B217" s="17">
        <f>IF(A217="","",IFERROR(VLOOKUP(A217,Notificações!$A:$B,2,FALSE),"ID não encontrado"))</f>
        <v/>
      </c>
      <c r="C217" s="17" t="n"/>
      <c r="D217" s="17" t="n"/>
      <c r="E217" s="17">
        <f>IF(D217="","",IFERROR(VLOOKUP(D217,Catálogo!$A:$D,2,FALSE),"Código não está no Catálogo"))</f>
        <v/>
      </c>
      <c r="F217" s="17">
        <f>IF(D217="","",IFERROR(VLOOKUP(D217,Catálogo!$A:$D,4,FALSE),""))</f>
        <v/>
      </c>
      <c r="G217" s="17" t="n"/>
      <c r="H217" s="17">
        <f>IF(D217="",0,IF(COUNTIFS($A$2:A217,A217,$D$2:D217,D217)=1,1,0))</f>
        <v/>
      </c>
      <c r="I217" s="17" t="n"/>
      <c r="J217" s="17" t="n"/>
      <c r="K217" s="18" t="n"/>
      <c r="L217" s="17" t="n"/>
      <c r="M217">
        <f>IF(AND(B217&lt;&gt;"",B217='Por empresa'!$B$2),COUNTIF($B$2:B217,'Por empresa'!$B$2),"")</f>
        <v/>
      </c>
    </row>
    <row r="218">
      <c r="A218" s="17" t="n"/>
      <c r="B218" s="17">
        <f>IF(A218="","",IFERROR(VLOOKUP(A218,Notificações!$A:$B,2,FALSE),"ID não encontrado"))</f>
        <v/>
      </c>
      <c r="C218" s="17" t="n"/>
      <c r="D218" s="17" t="n"/>
      <c r="E218" s="17">
        <f>IF(D218="","",IFERROR(VLOOKUP(D218,Catálogo!$A:$D,2,FALSE),"Código não está no Catálogo"))</f>
        <v/>
      </c>
      <c r="F218" s="17">
        <f>IF(D218="","",IFERROR(VLOOKUP(D218,Catálogo!$A:$D,4,FALSE),""))</f>
        <v/>
      </c>
      <c r="G218" s="17" t="n"/>
      <c r="H218" s="17">
        <f>IF(D218="",0,IF(COUNTIFS($A$2:A218,A218,$D$2:D218,D218)=1,1,0))</f>
        <v/>
      </c>
      <c r="I218" s="17" t="n"/>
      <c r="J218" s="17" t="n"/>
      <c r="K218" s="18" t="n"/>
      <c r="L218" s="17" t="n"/>
      <c r="M218">
        <f>IF(AND(B218&lt;&gt;"",B218='Por empresa'!$B$2),COUNTIF($B$2:B218,'Por empresa'!$B$2),"")</f>
        <v/>
      </c>
    </row>
    <row r="219">
      <c r="A219" s="17" t="n"/>
      <c r="B219" s="17">
        <f>IF(A219="","",IFERROR(VLOOKUP(A219,Notificações!$A:$B,2,FALSE),"ID não encontrado"))</f>
        <v/>
      </c>
      <c r="C219" s="17" t="n"/>
      <c r="D219" s="17" t="n"/>
      <c r="E219" s="17">
        <f>IF(D219="","",IFERROR(VLOOKUP(D219,Catálogo!$A:$D,2,FALSE),"Código não está no Catálogo"))</f>
        <v/>
      </c>
      <c r="F219" s="17">
        <f>IF(D219="","",IFERROR(VLOOKUP(D219,Catálogo!$A:$D,4,FALSE),""))</f>
        <v/>
      </c>
      <c r="G219" s="17" t="n"/>
      <c r="H219" s="17">
        <f>IF(D219="",0,IF(COUNTIFS($A$2:A219,A219,$D$2:D219,D219)=1,1,0))</f>
        <v/>
      </c>
      <c r="I219" s="17" t="n"/>
      <c r="J219" s="17" t="n"/>
      <c r="K219" s="18" t="n"/>
      <c r="L219" s="17" t="n"/>
      <c r="M219">
        <f>IF(AND(B219&lt;&gt;"",B219='Por empresa'!$B$2),COUNTIF($B$2:B219,'Por empresa'!$B$2),"")</f>
        <v/>
      </c>
    </row>
    <row r="220">
      <c r="A220" s="17" t="n"/>
      <c r="B220" s="17">
        <f>IF(A220="","",IFERROR(VLOOKUP(A220,Notificações!$A:$B,2,FALSE),"ID não encontrado"))</f>
        <v/>
      </c>
      <c r="C220" s="17" t="n"/>
      <c r="D220" s="17" t="n"/>
      <c r="E220" s="17">
        <f>IF(D220="","",IFERROR(VLOOKUP(D220,Catálogo!$A:$D,2,FALSE),"Código não está no Catálogo"))</f>
        <v/>
      </c>
      <c r="F220" s="17">
        <f>IF(D220="","",IFERROR(VLOOKUP(D220,Catálogo!$A:$D,4,FALSE),""))</f>
        <v/>
      </c>
      <c r="G220" s="17" t="n"/>
      <c r="H220" s="17">
        <f>IF(D220="",0,IF(COUNTIFS($A$2:A220,A220,$D$2:D220,D220)=1,1,0))</f>
        <v/>
      </c>
      <c r="I220" s="17" t="n"/>
      <c r="J220" s="17" t="n"/>
      <c r="K220" s="18" t="n"/>
      <c r="L220" s="17" t="n"/>
      <c r="M220">
        <f>IF(AND(B220&lt;&gt;"",B220='Por empresa'!$B$2),COUNTIF($B$2:B220,'Por empresa'!$B$2),"")</f>
        <v/>
      </c>
    </row>
    <row r="221">
      <c r="A221" s="17" t="n"/>
      <c r="B221" s="17">
        <f>IF(A221="","",IFERROR(VLOOKUP(A221,Notificações!$A:$B,2,FALSE),"ID não encontrado"))</f>
        <v/>
      </c>
      <c r="C221" s="17" t="n"/>
      <c r="D221" s="17" t="n"/>
      <c r="E221" s="17">
        <f>IF(D221="","",IFERROR(VLOOKUP(D221,Catálogo!$A:$D,2,FALSE),"Código não está no Catálogo"))</f>
        <v/>
      </c>
      <c r="F221" s="17">
        <f>IF(D221="","",IFERROR(VLOOKUP(D221,Catálogo!$A:$D,4,FALSE),""))</f>
        <v/>
      </c>
      <c r="G221" s="17" t="n"/>
      <c r="H221" s="17">
        <f>IF(D221="",0,IF(COUNTIFS($A$2:A221,A221,$D$2:D221,D221)=1,1,0))</f>
        <v/>
      </c>
      <c r="I221" s="17" t="n"/>
      <c r="J221" s="17" t="n"/>
      <c r="K221" s="18" t="n"/>
      <c r="L221" s="17" t="n"/>
      <c r="M221">
        <f>IF(AND(B221&lt;&gt;"",B221='Por empresa'!$B$2),COUNTIF($B$2:B221,'Por empresa'!$B$2),"")</f>
        <v/>
      </c>
    </row>
    <row r="222">
      <c r="A222" s="17" t="n"/>
      <c r="B222" s="17">
        <f>IF(A222="","",IFERROR(VLOOKUP(A222,Notificações!$A:$B,2,FALSE),"ID não encontrado"))</f>
        <v/>
      </c>
      <c r="C222" s="17" t="n"/>
      <c r="D222" s="17" t="n"/>
      <c r="E222" s="17">
        <f>IF(D222="","",IFERROR(VLOOKUP(D222,Catálogo!$A:$D,2,FALSE),"Código não está no Catálogo"))</f>
        <v/>
      </c>
      <c r="F222" s="17">
        <f>IF(D222="","",IFERROR(VLOOKUP(D222,Catálogo!$A:$D,4,FALSE),""))</f>
        <v/>
      </c>
      <c r="G222" s="17" t="n"/>
      <c r="H222" s="17">
        <f>IF(D222="",0,IF(COUNTIFS($A$2:A222,A222,$D$2:D222,D222)=1,1,0))</f>
        <v/>
      </c>
      <c r="I222" s="17" t="n"/>
      <c r="J222" s="17" t="n"/>
      <c r="K222" s="18" t="n"/>
      <c r="L222" s="17" t="n"/>
      <c r="M222">
        <f>IF(AND(B222&lt;&gt;"",B222='Por empresa'!$B$2),COUNTIF($B$2:B222,'Por empresa'!$B$2),"")</f>
        <v/>
      </c>
    </row>
    <row r="223">
      <c r="A223" s="17" t="n"/>
      <c r="B223" s="17">
        <f>IF(A223="","",IFERROR(VLOOKUP(A223,Notificações!$A:$B,2,FALSE),"ID não encontrado"))</f>
        <v/>
      </c>
      <c r="C223" s="17" t="n"/>
      <c r="D223" s="17" t="n"/>
      <c r="E223" s="17">
        <f>IF(D223="","",IFERROR(VLOOKUP(D223,Catálogo!$A:$D,2,FALSE),"Código não está no Catálogo"))</f>
        <v/>
      </c>
      <c r="F223" s="17">
        <f>IF(D223="","",IFERROR(VLOOKUP(D223,Catálogo!$A:$D,4,FALSE),""))</f>
        <v/>
      </c>
      <c r="G223" s="17" t="n"/>
      <c r="H223" s="17">
        <f>IF(D223="",0,IF(COUNTIFS($A$2:A223,A223,$D$2:D223,D223)=1,1,0))</f>
        <v/>
      </c>
      <c r="I223" s="17" t="n"/>
      <c r="J223" s="17" t="n"/>
      <c r="K223" s="18" t="n"/>
      <c r="L223" s="17" t="n"/>
      <c r="M223">
        <f>IF(AND(B223&lt;&gt;"",B223='Por empresa'!$B$2),COUNTIF($B$2:B223,'Por empresa'!$B$2),"")</f>
        <v/>
      </c>
    </row>
    <row r="224">
      <c r="A224" s="17" t="n"/>
      <c r="B224" s="17">
        <f>IF(A224="","",IFERROR(VLOOKUP(A224,Notificações!$A:$B,2,FALSE),"ID não encontrado"))</f>
        <v/>
      </c>
      <c r="C224" s="17" t="n"/>
      <c r="D224" s="17" t="n"/>
      <c r="E224" s="17">
        <f>IF(D224="","",IFERROR(VLOOKUP(D224,Catálogo!$A:$D,2,FALSE),"Código não está no Catálogo"))</f>
        <v/>
      </c>
      <c r="F224" s="17">
        <f>IF(D224="","",IFERROR(VLOOKUP(D224,Catálogo!$A:$D,4,FALSE),""))</f>
        <v/>
      </c>
      <c r="G224" s="17" t="n"/>
      <c r="H224" s="17">
        <f>IF(D224="",0,IF(COUNTIFS($A$2:A224,A224,$D$2:D224,D224)=1,1,0))</f>
        <v/>
      </c>
      <c r="I224" s="17" t="n"/>
      <c r="J224" s="17" t="n"/>
      <c r="K224" s="18" t="n"/>
      <c r="L224" s="17" t="n"/>
      <c r="M224">
        <f>IF(AND(B224&lt;&gt;"",B224='Por empresa'!$B$2),COUNTIF($B$2:B224,'Por empresa'!$B$2),"")</f>
        <v/>
      </c>
    </row>
    <row r="225">
      <c r="A225" s="17" t="n"/>
      <c r="B225" s="17">
        <f>IF(A225="","",IFERROR(VLOOKUP(A225,Notificações!$A:$B,2,FALSE),"ID não encontrado"))</f>
        <v/>
      </c>
      <c r="C225" s="17" t="n"/>
      <c r="D225" s="17" t="n"/>
      <c r="E225" s="17">
        <f>IF(D225="","",IFERROR(VLOOKUP(D225,Catálogo!$A:$D,2,FALSE),"Código não está no Catálogo"))</f>
        <v/>
      </c>
      <c r="F225" s="17">
        <f>IF(D225="","",IFERROR(VLOOKUP(D225,Catálogo!$A:$D,4,FALSE),""))</f>
        <v/>
      </c>
      <c r="G225" s="17" t="n"/>
      <c r="H225" s="17">
        <f>IF(D225="",0,IF(COUNTIFS($A$2:A225,A225,$D$2:D225,D225)=1,1,0))</f>
        <v/>
      </c>
      <c r="I225" s="17" t="n"/>
      <c r="J225" s="17" t="n"/>
      <c r="K225" s="18" t="n"/>
      <c r="L225" s="17" t="n"/>
      <c r="M225">
        <f>IF(AND(B225&lt;&gt;"",B225='Por empresa'!$B$2),COUNTIF($B$2:B225,'Por empresa'!$B$2),"")</f>
        <v/>
      </c>
    </row>
    <row r="226">
      <c r="A226" s="17" t="n"/>
      <c r="B226" s="17">
        <f>IF(A226="","",IFERROR(VLOOKUP(A226,Notificações!$A:$B,2,FALSE),"ID não encontrado"))</f>
        <v/>
      </c>
      <c r="C226" s="17" t="n"/>
      <c r="D226" s="17" t="n"/>
      <c r="E226" s="17">
        <f>IF(D226="","",IFERROR(VLOOKUP(D226,Catálogo!$A:$D,2,FALSE),"Código não está no Catálogo"))</f>
        <v/>
      </c>
      <c r="F226" s="17">
        <f>IF(D226="","",IFERROR(VLOOKUP(D226,Catálogo!$A:$D,4,FALSE),""))</f>
        <v/>
      </c>
      <c r="G226" s="17" t="n"/>
      <c r="H226" s="17">
        <f>IF(D226="",0,IF(COUNTIFS($A$2:A226,A226,$D$2:D226,D226)=1,1,0))</f>
        <v/>
      </c>
      <c r="I226" s="17" t="n"/>
      <c r="J226" s="17" t="n"/>
      <c r="K226" s="18" t="n"/>
      <c r="L226" s="17" t="n"/>
      <c r="M226">
        <f>IF(AND(B226&lt;&gt;"",B226='Por empresa'!$B$2),COUNTIF($B$2:B226,'Por empresa'!$B$2),"")</f>
        <v/>
      </c>
    </row>
    <row r="227">
      <c r="A227" s="17" t="n"/>
      <c r="B227" s="17">
        <f>IF(A227="","",IFERROR(VLOOKUP(A227,Notificações!$A:$B,2,FALSE),"ID não encontrado"))</f>
        <v/>
      </c>
      <c r="C227" s="17" t="n"/>
      <c r="D227" s="17" t="n"/>
      <c r="E227" s="17">
        <f>IF(D227="","",IFERROR(VLOOKUP(D227,Catálogo!$A:$D,2,FALSE),"Código não está no Catálogo"))</f>
        <v/>
      </c>
      <c r="F227" s="17">
        <f>IF(D227="","",IFERROR(VLOOKUP(D227,Catálogo!$A:$D,4,FALSE),""))</f>
        <v/>
      </c>
      <c r="G227" s="17" t="n"/>
      <c r="H227" s="17">
        <f>IF(D227="",0,IF(COUNTIFS($A$2:A227,A227,$D$2:D227,D227)=1,1,0))</f>
        <v/>
      </c>
      <c r="I227" s="17" t="n"/>
      <c r="J227" s="17" t="n"/>
      <c r="K227" s="18" t="n"/>
      <c r="L227" s="17" t="n"/>
      <c r="M227">
        <f>IF(AND(B227&lt;&gt;"",B227='Por empresa'!$B$2),COUNTIF($B$2:B227,'Por empresa'!$B$2),"")</f>
        <v/>
      </c>
    </row>
    <row r="228">
      <c r="A228" s="17" t="n"/>
      <c r="B228" s="17">
        <f>IF(A228="","",IFERROR(VLOOKUP(A228,Notificações!$A:$B,2,FALSE),"ID não encontrado"))</f>
        <v/>
      </c>
      <c r="C228" s="17" t="n"/>
      <c r="D228" s="17" t="n"/>
      <c r="E228" s="17">
        <f>IF(D228="","",IFERROR(VLOOKUP(D228,Catálogo!$A:$D,2,FALSE),"Código não está no Catálogo"))</f>
        <v/>
      </c>
      <c r="F228" s="17">
        <f>IF(D228="","",IFERROR(VLOOKUP(D228,Catálogo!$A:$D,4,FALSE),""))</f>
        <v/>
      </c>
      <c r="G228" s="17" t="n"/>
      <c r="H228" s="17">
        <f>IF(D228="",0,IF(COUNTIFS($A$2:A228,A228,$D$2:D228,D228)=1,1,0))</f>
        <v/>
      </c>
      <c r="I228" s="17" t="n"/>
      <c r="J228" s="17" t="n"/>
      <c r="K228" s="18" t="n"/>
      <c r="L228" s="17" t="n"/>
      <c r="M228">
        <f>IF(AND(B228&lt;&gt;"",B228='Por empresa'!$B$2),COUNTIF($B$2:B228,'Por empresa'!$B$2),"")</f>
        <v/>
      </c>
    </row>
    <row r="229">
      <c r="A229" s="17" t="n"/>
      <c r="B229" s="17">
        <f>IF(A229="","",IFERROR(VLOOKUP(A229,Notificações!$A:$B,2,FALSE),"ID não encontrado"))</f>
        <v/>
      </c>
      <c r="C229" s="17" t="n"/>
      <c r="D229" s="17" t="n"/>
      <c r="E229" s="17">
        <f>IF(D229="","",IFERROR(VLOOKUP(D229,Catálogo!$A:$D,2,FALSE),"Código não está no Catálogo"))</f>
        <v/>
      </c>
      <c r="F229" s="17">
        <f>IF(D229="","",IFERROR(VLOOKUP(D229,Catálogo!$A:$D,4,FALSE),""))</f>
        <v/>
      </c>
      <c r="G229" s="17" t="n"/>
      <c r="H229" s="17">
        <f>IF(D229="",0,IF(COUNTIFS($A$2:A229,A229,$D$2:D229,D229)=1,1,0))</f>
        <v/>
      </c>
      <c r="I229" s="17" t="n"/>
      <c r="J229" s="17" t="n"/>
      <c r="K229" s="18" t="n"/>
      <c r="L229" s="17" t="n"/>
      <c r="M229">
        <f>IF(AND(B229&lt;&gt;"",B229='Por empresa'!$B$2),COUNTIF($B$2:B229,'Por empresa'!$B$2),"")</f>
        <v/>
      </c>
    </row>
    <row r="230">
      <c r="A230" s="17" t="n"/>
      <c r="B230" s="17">
        <f>IF(A230="","",IFERROR(VLOOKUP(A230,Notificações!$A:$B,2,FALSE),"ID não encontrado"))</f>
        <v/>
      </c>
      <c r="C230" s="17" t="n"/>
      <c r="D230" s="17" t="n"/>
      <c r="E230" s="17">
        <f>IF(D230="","",IFERROR(VLOOKUP(D230,Catálogo!$A:$D,2,FALSE),"Código não está no Catálogo"))</f>
        <v/>
      </c>
      <c r="F230" s="17">
        <f>IF(D230="","",IFERROR(VLOOKUP(D230,Catálogo!$A:$D,4,FALSE),""))</f>
        <v/>
      </c>
      <c r="G230" s="17" t="n"/>
      <c r="H230" s="17">
        <f>IF(D230="",0,IF(COUNTIFS($A$2:A230,A230,$D$2:D230,D230)=1,1,0))</f>
        <v/>
      </c>
      <c r="I230" s="17" t="n"/>
      <c r="J230" s="17" t="n"/>
      <c r="K230" s="18" t="n"/>
      <c r="L230" s="17" t="n"/>
      <c r="M230">
        <f>IF(AND(B230&lt;&gt;"",B230='Por empresa'!$B$2),COUNTIF($B$2:B230,'Por empresa'!$B$2),"")</f>
        <v/>
      </c>
    </row>
    <row r="231">
      <c r="A231" s="17" t="n"/>
      <c r="B231" s="17">
        <f>IF(A231="","",IFERROR(VLOOKUP(A231,Notificações!$A:$B,2,FALSE),"ID não encontrado"))</f>
        <v/>
      </c>
      <c r="C231" s="17" t="n"/>
      <c r="D231" s="17" t="n"/>
      <c r="E231" s="17">
        <f>IF(D231="","",IFERROR(VLOOKUP(D231,Catálogo!$A:$D,2,FALSE),"Código não está no Catálogo"))</f>
        <v/>
      </c>
      <c r="F231" s="17">
        <f>IF(D231="","",IFERROR(VLOOKUP(D231,Catálogo!$A:$D,4,FALSE),""))</f>
        <v/>
      </c>
      <c r="G231" s="17" t="n"/>
      <c r="H231" s="17">
        <f>IF(D231="",0,IF(COUNTIFS($A$2:A231,A231,$D$2:D231,D231)=1,1,0))</f>
        <v/>
      </c>
      <c r="I231" s="17" t="n"/>
      <c r="J231" s="17" t="n"/>
      <c r="K231" s="18" t="n"/>
      <c r="L231" s="17" t="n"/>
      <c r="M231">
        <f>IF(AND(B231&lt;&gt;"",B231='Por empresa'!$B$2),COUNTIF($B$2:B231,'Por empresa'!$B$2),"")</f>
        <v/>
      </c>
    </row>
    <row r="232">
      <c r="A232" s="17" t="n"/>
      <c r="B232" s="17">
        <f>IF(A232="","",IFERROR(VLOOKUP(A232,Notificações!$A:$B,2,FALSE),"ID não encontrado"))</f>
        <v/>
      </c>
      <c r="C232" s="17" t="n"/>
      <c r="D232" s="17" t="n"/>
      <c r="E232" s="17">
        <f>IF(D232="","",IFERROR(VLOOKUP(D232,Catálogo!$A:$D,2,FALSE),"Código não está no Catálogo"))</f>
        <v/>
      </c>
      <c r="F232" s="17">
        <f>IF(D232="","",IFERROR(VLOOKUP(D232,Catálogo!$A:$D,4,FALSE),""))</f>
        <v/>
      </c>
      <c r="G232" s="17" t="n"/>
      <c r="H232" s="17">
        <f>IF(D232="",0,IF(COUNTIFS($A$2:A232,A232,$D$2:D232,D232)=1,1,0))</f>
        <v/>
      </c>
      <c r="I232" s="17" t="n"/>
      <c r="J232" s="17" t="n"/>
      <c r="K232" s="18" t="n"/>
      <c r="L232" s="17" t="n"/>
      <c r="M232">
        <f>IF(AND(B232&lt;&gt;"",B232='Por empresa'!$B$2),COUNTIF($B$2:B232,'Por empresa'!$B$2),"")</f>
        <v/>
      </c>
    </row>
    <row r="233">
      <c r="A233" s="17" t="n"/>
      <c r="B233" s="17">
        <f>IF(A233="","",IFERROR(VLOOKUP(A233,Notificações!$A:$B,2,FALSE),"ID não encontrado"))</f>
        <v/>
      </c>
      <c r="C233" s="17" t="n"/>
      <c r="D233" s="17" t="n"/>
      <c r="E233" s="17">
        <f>IF(D233="","",IFERROR(VLOOKUP(D233,Catálogo!$A:$D,2,FALSE),"Código não está no Catálogo"))</f>
        <v/>
      </c>
      <c r="F233" s="17">
        <f>IF(D233="","",IFERROR(VLOOKUP(D233,Catálogo!$A:$D,4,FALSE),""))</f>
        <v/>
      </c>
      <c r="G233" s="17" t="n"/>
      <c r="H233" s="17">
        <f>IF(D233="",0,IF(COUNTIFS($A$2:A233,A233,$D$2:D233,D233)=1,1,0))</f>
        <v/>
      </c>
      <c r="I233" s="17" t="n"/>
      <c r="J233" s="17" t="n"/>
      <c r="K233" s="18" t="n"/>
      <c r="L233" s="17" t="n"/>
      <c r="M233">
        <f>IF(AND(B233&lt;&gt;"",B233='Por empresa'!$B$2),COUNTIF($B$2:B233,'Por empresa'!$B$2),"")</f>
        <v/>
      </c>
    </row>
    <row r="234">
      <c r="A234" s="17" t="n"/>
      <c r="B234" s="17">
        <f>IF(A234="","",IFERROR(VLOOKUP(A234,Notificações!$A:$B,2,FALSE),"ID não encontrado"))</f>
        <v/>
      </c>
      <c r="C234" s="17" t="n"/>
      <c r="D234" s="17" t="n"/>
      <c r="E234" s="17">
        <f>IF(D234="","",IFERROR(VLOOKUP(D234,Catálogo!$A:$D,2,FALSE),"Código não está no Catálogo"))</f>
        <v/>
      </c>
      <c r="F234" s="17">
        <f>IF(D234="","",IFERROR(VLOOKUP(D234,Catálogo!$A:$D,4,FALSE),""))</f>
        <v/>
      </c>
      <c r="G234" s="17" t="n"/>
      <c r="H234" s="17">
        <f>IF(D234="",0,IF(COUNTIFS($A$2:A234,A234,$D$2:D234,D234)=1,1,0))</f>
        <v/>
      </c>
      <c r="I234" s="17" t="n"/>
      <c r="J234" s="17" t="n"/>
      <c r="K234" s="18" t="n"/>
      <c r="L234" s="17" t="n"/>
      <c r="M234">
        <f>IF(AND(B234&lt;&gt;"",B234='Por empresa'!$B$2),COUNTIF($B$2:B234,'Por empresa'!$B$2),"")</f>
        <v/>
      </c>
    </row>
    <row r="235">
      <c r="A235" s="17" t="n"/>
      <c r="B235" s="17">
        <f>IF(A235="","",IFERROR(VLOOKUP(A235,Notificações!$A:$B,2,FALSE),"ID não encontrado"))</f>
        <v/>
      </c>
      <c r="C235" s="17" t="n"/>
      <c r="D235" s="17" t="n"/>
      <c r="E235" s="17">
        <f>IF(D235="","",IFERROR(VLOOKUP(D235,Catálogo!$A:$D,2,FALSE),"Código não está no Catálogo"))</f>
        <v/>
      </c>
      <c r="F235" s="17">
        <f>IF(D235="","",IFERROR(VLOOKUP(D235,Catálogo!$A:$D,4,FALSE),""))</f>
        <v/>
      </c>
      <c r="G235" s="17" t="n"/>
      <c r="H235" s="17">
        <f>IF(D235="",0,IF(COUNTIFS($A$2:A235,A235,$D$2:D235,D235)=1,1,0))</f>
        <v/>
      </c>
      <c r="I235" s="17" t="n"/>
      <c r="J235" s="17" t="n"/>
      <c r="K235" s="18" t="n"/>
      <c r="L235" s="17" t="n"/>
      <c r="M235">
        <f>IF(AND(B235&lt;&gt;"",B235='Por empresa'!$B$2),COUNTIF($B$2:B235,'Por empresa'!$B$2),"")</f>
        <v/>
      </c>
    </row>
    <row r="236">
      <c r="A236" s="17" t="n"/>
      <c r="B236" s="17">
        <f>IF(A236="","",IFERROR(VLOOKUP(A236,Notificações!$A:$B,2,FALSE),"ID não encontrado"))</f>
        <v/>
      </c>
      <c r="C236" s="17" t="n"/>
      <c r="D236" s="17" t="n"/>
      <c r="E236" s="17">
        <f>IF(D236="","",IFERROR(VLOOKUP(D236,Catálogo!$A:$D,2,FALSE),"Código não está no Catálogo"))</f>
        <v/>
      </c>
      <c r="F236" s="17">
        <f>IF(D236="","",IFERROR(VLOOKUP(D236,Catálogo!$A:$D,4,FALSE),""))</f>
        <v/>
      </c>
      <c r="G236" s="17" t="n"/>
      <c r="H236" s="17">
        <f>IF(D236="",0,IF(COUNTIFS($A$2:A236,A236,$D$2:D236,D236)=1,1,0))</f>
        <v/>
      </c>
      <c r="I236" s="17" t="n"/>
      <c r="J236" s="17" t="n"/>
      <c r="K236" s="18" t="n"/>
      <c r="L236" s="17" t="n"/>
      <c r="M236">
        <f>IF(AND(B236&lt;&gt;"",B236='Por empresa'!$B$2),COUNTIF($B$2:B236,'Por empresa'!$B$2),"")</f>
        <v/>
      </c>
    </row>
    <row r="237">
      <c r="A237" s="17" t="n"/>
      <c r="B237" s="17">
        <f>IF(A237="","",IFERROR(VLOOKUP(A237,Notificações!$A:$B,2,FALSE),"ID não encontrado"))</f>
        <v/>
      </c>
      <c r="C237" s="17" t="n"/>
      <c r="D237" s="17" t="n"/>
      <c r="E237" s="17">
        <f>IF(D237="","",IFERROR(VLOOKUP(D237,Catálogo!$A:$D,2,FALSE),"Código não está no Catálogo"))</f>
        <v/>
      </c>
      <c r="F237" s="17">
        <f>IF(D237="","",IFERROR(VLOOKUP(D237,Catálogo!$A:$D,4,FALSE),""))</f>
        <v/>
      </c>
      <c r="G237" s="17" t="n"/>
      <c r="H237" s="17">
        <f>IF(D237="",0,IF(COUNTIFS($A$2:A237,A237,$D$2:D237,D237)=1,1,0))</f>
        <v/>
      </c>
      <c r="I237" s="17" t="n"/>
      <c r="J237" s="17" t="n"/>
      <c r="K237" s="18" t="n"/>
      <c r="L237" s="17" t="n"/>
      <c r="M237">
        <f>IF(AND(B237&lt;&gt;"",B237='Por empresa'!$B$2),COUNTIF($B$2:B237,'Por empresa'!$B$2),"")</f>
        <v/>
      </c>
    </row>
    <row r="238">
      <c r="A238" s="17" t="n"/>
      <c r="B238" s="17">
        <f>IF(A238="","",IFERROR(VLOOKUP(A238,Notificações!$A:$B,2,FALSE),"ID não encontrado"))</f>
        <v/>
      </c>
      <c r="C238" s="17" t="n"/>
      <c r="D238" s="17" t="n"/>
      <c r="E238" s="17">
        <f>IF(D238="","",IFERROR(VLOOKUP(D238,Catálogo!$A:$D,2,FALSE),"Código não está no Catálogo"))</f>
        <v/>
      </c>
      <c r="F238" s="17">
        <f>IF(D238="","",IFERROR(VLOOKUP(D238,Catálogo!$A:$D,4,FALSE),""))</f>
        <v/>
      </c>
      <c r="G238" s="17" t="n"/>
      <c r="H238" s="17">
        <f>IF(D238="",0,IF(COUNTIFS($A$2:A238,A238,$D$2:D238,D238)=1,1,0))</f>
        <v/>
      </c>
      <c r="I238" s="17" t="n"/>
      <c r="J238" s="17" t="n"/>
      <c r="K238" s="18" t="n"/>
      <c r="L238" s="17" t="n"/>
      <c r="M238">
        <f>IF(AND(B238&lt;&gt;"",B238='Por empresa'!$B$2),COUNTIF($B$2:B238,'Por empresa'!$B$2),"")</f>
        <v/>
      </c>
    </row>
    <row r="239">
      <c r="A239" s="17" t="n"/>
      <c r="B239" s="17">
        <f>IF(A239="","",IFERROR(VLOOKUP(A239,Notificações!$A:$B,2,FALSE),"ID não encontrado"))</f>
        <v/>
      </c>
      <c r="C239" s="17" t="n"/>
      <c r="D239" s="17" t="n"/>
      <c r="E239" s="17">
        <f>IF(D239="","",IFERROR(VLOOKUP(D239,Catálogo!$A:$D,2,FALSE),"Código não está no Catálogo"))</f>
        <v/>
      </c>
      <c r="F239" s="17">
        <f>IF(D239="","",IFERROR(VLOOKUP(D239,Catálogo!$A:$D,4,FALSE),""))</f>
        <v/>
      </c>
      <c r="G239" s="17" t="n"/>
      <c r="H239" s="17">
        <f>IF(D239="",0,IF(COUNTIFS($A$2:A239,A239,$D$2:D239,D239)=1,1,0))</f>
        <v/>
      </c>
      <c r="I239" s="17" t="n"/>
      <c r="J239" s="17" t="n"/>
      <c r="K239" s="18" t="n"/>
      <c r="L239" s="17" t="n"/>
      <c r="M239">
        <f>IF(AND(B239&lt;&gt;"",B239='Por empresa'!$B$2),COUNTIF($B$2:B239,'Por empresa'!$B$2),"")</f>
        <v/>
      </c>
    </row>
    <row r="240">
      <c r="A240" s="17" t="n"/>
      <c r="B240" s="17">
        <f>IF(A240="","",IFERROR(VLOOKUP(A240,Notificações!$A:$B,2,FALSE),"ID não encontrado"))</f>
        <v/>
      </c>
      <c r="C240" s="17" t="n"/>
      <c r="D240" s="17" t="n"/>
      <c r="E240" s="17">
        <f>IF(D240="","",IFERROR(VLOOKUP(D240,Catálogo!$A:$D,2,FALSE),"Código não está no Catálogo"))</f>
        <v/>
      </c>
      <c r="F240" s="17">
        <f>IF(D240="","",IFERROR(VLOOKUP(D240,Catálogo!$A:$D,4,FALSE),""))</f>
        <v/>
      </c>
      <c r="G240" s="17" t="n"/>
      <c r="H240" s="17">
        <f>IF(D240="",0,IF(COUNTIFS($A$2:A240,A240,$D$2:D240,D240)=1,1,0))</f>
        <v/>
      </c>
      <c r="I240" s="17" t="n"/>
      <c r="J240" s="17" t="n"/>
      <c r="K240" s="18" t="n"/>
      <c r="L240" s="17" t="n"/>
      <c r="M240">
        <f>IF(AND(B240&lt;&gt;"",B240='Por empresa'!$B$2),COUNTIF($B$2:B240,'Por empresa'!$B$2),"")</f>
        <v/>
      </c>
    </row>
    <row r="241">
      <c r="A241" s="17" t="n"/>
      <c r="B241" s="17">
        <f>IF(A241="","",IFERROR(VLOOKUP(A241,Notificações!$A:$B,2,FALSE),"ID não encontrado"))</f>
        <v/>
      </c>
      <c r="C241" s="17" t="n"/>
      <c r="D241" s="17" t="n"/>
      <c r="E241" s="17">
        <f>IF(D241="","",IFERROR(VLOOKUP(D241,Catálogo!$A:$D,2,FALSE),"Código não está no Catálogo"))</f>
        <v/>
      </c>
      <c r="F241" s="17">
        <f>IF(D241="","",IFERROR(VLOOKUP(D241,Catálogo!$A:$D,4,FALSE),""))</f>
        <v/>
      </c>
      <c r="G241" s="17" t="n"/>
      <c r="H241" s="17">
        <f>IF(D241="",0,IF(COUNTIFS($A$2:A241,A241,$D$2:D241,D241)=1,1,0))</f>
        <v/>
      </c>
      <c r="I241" s="17" t="n"/>
      <c r="J241" s="17" t="n"/>
      <c r="K241" s="18" t="n"/>
      <c r="L241" s="17" t="n"/>
      <c r="M241">
        <f>IF(AND(B241&lt;&gt;"",B241='Por empresa'!$B$2),COUNTIF($B$2:B241,'Por empresa'!$B$2),"")</f>
        <v/>
      </c>
    </row>
    <row r="242">
      <c r="A242" s="17" t="n"/>
      <c r="B242" s="17">
        <f>IF(A242="","",IFERROR(VLOOKUP(A242,Notificações!$A:$B,2,FALSE),"ID não encontrado"))</f>
        <v/>
      </c>
      <c r="C242" s="17" t="n"/>
      <c r="D242" s="17" t="n"/>
      <c r="E242" s="17">
        <f>IF(D242="","",IFERROR(VLOOKUP(D242,Catálogo!$A:$D,2,FALSE),"Código não está no Catálogo"))</f>
        <v/>
      </c>
      <c r="F242" s="17">
        <f>IF(D242="","",IFERROR(VLOOKUP(D242,Catálogo!$A:$D,4,FALSE),""))</f>
        <v/>
      </c>
      <c r="G242" s="17" t="n"/>
      <c r="H242" s="17">
        <f>IF(D242="",0,IF(COUNTIFS($A$2:A242,A242,$D$2:D242,D242)=1,1,0))</f>
        <v/>
      </c>
      <c r="I242" s="17" t="n"/>
      <c r="J242" s="17" t="n"/>
      <c r="K242" s="18" t="n"/>
      <c r="L242" s="17" t="n"/>
      <c r="M242">
        <f>IF(AND(B242&lt;&gt;"",B242='Por empresa'!$B$2),COUNTIF($B$2:B242,'Por empresa'!$B$2),"")</f>
        <v/>
      </c>
    </row>
    <row r="243">
      <c r="A243" s="17" t="n"/>
      <c r="B243" s="17">
        <f>IF(A243="","",IFERROR(VLOOKUP(A243,Notificações!$A:$B,2,FALSE),"ID não encontrado"))</f>
        <v/>
      </c>
      <c r="C243" s="17" t="n"/>
      <c r="D243" s="17" t="n"/>
      <c r="E243" s="17">
        <f>IF(D243="","",IFERROR(VLOOKUP(D243,Catálogo!$A:$D,2,FALSE),"Código não está no Catálogo"))</f>
        <v/>
      </c>
      <c r="F243" s="17">
        <f>IF(D243="","",IFERROR(VLOOKUP(D243,Catálogo!$A:$D,4,FALSE),""))</f>
        <v/>
      </c>
      <c r="G243" s="17" t="n"/>
      <c r="H243" s="17">
        <f>IF(D243="",0,IF(COUNTIFS($A$2:A243,A243,$D$2:D243,D243)=1,1,0))</f>
        <v/>
      </c>
      <c r="I243" s="17" t="n"/>
      <c r="J243" s="17" t="n"/>
      <c r="K243" s="18" t="n"/>
      <c r="L243" s="17" t="n"/>
      <c r="M243">
        <f>IF(AND(B243&lt;&gt;"",B243='Por empresa'!$B$2),COUNTIF($B$2:B243,'Por empresa'!$B$2),"")</f>
        <v/>
      </c>
    </row>
    <row r="244">
      <c r="A244" s="17" t="n"/>
      <c r="B244" s="17">
        <f>IF(A244="","",IFERROR(VLOOKUP(A244,Notificações!$A:$B,2,FALSE),"ID não encontrado"))</f>
        <v/>
      </c>
      <c r="C244" s="17" t="n"/>
      <c r="D244" s="17" t="n"/>
      <c r="E244" s="17">
        <f>IF(D244="","",IFERROR(VLOOKUP(D244,Catálogo!$A:$D,2,FALSE),"Código não está no Catálogo"))</f>
        <v/>
      </c>
      <c r="F244" s="17">
        <f>IF(D244="","",IFERROR(VLOOKUP(D244,Catálogo!$A:$D,4,FALSE),""))</f>
        <v/>
      </c>
      <c r="G244" s="17" t="n"/>
      <c r="H244" s="17">
        <f>IF(D244="",0,IF(COUNTIFS($A$2:A244,A244,$D$2:D244,D244)=1,1,0))</f>
        <v/>
      </c>
      <c r="I244" s="17" t="n"/>
      <c r="J244" s="17" t="n"/>
      <c r="K244" s="18" t="n"/>
      <c r="L244" s="17" t="n"/>
      <c r="M244">
        <f>IF(AND(B244&lt;&gt;"",B244='Por empresa'!$B$2),COUNTIF($B$2:B244,'Por empresa'!$B$2),"")</f>
        <v/>
      </c>
    </row>
    <row r="245">
      <c r="A245" s="17" t="n"/>
      <c r="B245" s="17">
        <f>IF(A245="","",IFERROR(VLOOKUP(A245,Notificações!$A:$B,2,FALSE),"ID não encontrado"))</f>
        <v/>
      </c>
      <c r="C245" s="17" t="n"/>
      <c r="D245" s="17" t="n"/>
      <c r="E245" s="17">
        <f>IF(D245="","",IFERROR(VLOOKUP(D245,Catálogo!$A:$D,2,FALSE),"Código não está no Catálogo"))</f>
        <v/>
      </c>
      <c r="F245" s="17">
        <f>IF(D245="","",IFERROR(VLOOKUP(D245,Catálogo!$A:$D,4,FALSE),""))</f>
        <v/>
      </c>
      <c r="G245" s="17" t="n"/>
      <c r="H245" s="17">
        <f>IF(D245="",0,IF(COUNTIFS($A$2:A245,A245,$D$2:D245,D245)=1,1,0))</f>
        <v/>
      </c>
      <c r="I245" s="17" t="n"/>
      <c r="J245" s="17" t="n"/>
      <c r="K245" s="18" t="n"/>
      <c r="L245" s="17" t="n"/>
      <c r="M245">
        <f>IF(AND(B245&lt;&gt;"",B245='Por empresa'!$B$2),COUNTIF($B$2:B245,'Por empresa'!$B$2),"")</f>
        <v/>
      </c>
    </row>
    <row r="246">
      <c r="A246" s="17" t="n"/>
      <c r="B246" s="17">
        <f>IF(A246="","",IFERROR(VLOOKUP(A246,Notificações!$A:$B,2,FALSE),"ID não encontrado"))</f>
        <v/>
      </c>
      <c r="C246" s="17" t="n"/>
      <c r="D246" s="17" t="n"/>
      <c r="E246" s="17">
        <f>IF(D246="","",IFERROR(VLOOKUP(D246,Catálogo!$A:$D,2,FALSE),"Código não está no Catálogo"))</f>
        <v/>
      </c>
      <c r="F246" s="17">
        <f>IF(D246="","",IFERROR(VLOOKUP(D246,Catálogo!$A:$D,4,FALSE),""))</f>
        <v/>
      </c>
      <c r="G246" s="17" t="n"/>
      <c r="H246" s="17">
        <f>IF(D246="",0,IF(COUNTIFS($A$2:A246,A246,$D$2:D246,D246)=1,1,0))</f>
        <v/>
      </c>
      <c r="I246" s="17" t="n"/>
      <c r="J246" s="17" t="n"/>
      <c r="K246" s="18" t="n"/>
      <c r="L246" s="17" t="n"/>
      <c r="M246">
        <f>IF(AND(B246&lt;&gt;"",B246='Por empresa'!$B$2),COUNTIF($B$2:B246,'Por empresa'!$B$2),"")</f>
        <v/>
      </c>
    </row>
    <row r="247">
      <c r="A247" s="17" t="n"/>
      <c r="B247" s="17">
        <f>IF(A247="","",IFERROR(VLOOKUP(A247,Notificações!$A:$B,2,FALSE),"ID não encontrado"))</f>
        <v/>
      </c>
      <c r="C247" s="17" t="n"/>
      <c r="D247" s="17" t="n"/>
      <c r="E247" s="17">
        <f>IF(D247="","",IFERROR(VLOOKUP(D247,Catálogo!$A:$D,2,FALSE),"Código não está no Catálogo"))</f>
        <v/>
      </c>
      <c r="F247" s="17">
        <f>IF(D247="","",IFERROR(VLOOKUP(D247,Catálogo!$A:$D,4,FALSE),""))</f>
        <v/>
      </c>
      <c r="G247" s="17" t="n"/>
      <c r="H247" s="17">
        <f>IF(D247="",0,IF(COUNTIFS($A$2:A247,A247,$D$2:D247,D247)=1,1,0))</f>
        <v/>
      </c>
      <c r="I247" s="17" t="n"/>
      <c r="J247" s="17" t="n"/>
      <c r="K247" s="18" t="n"/>
      <c r="L247" s="17" t="n"/>
      <c r="M247">
        <f>IF(AND(B247&lt;&gt;"",B247='Por empresa'!$B$2),COUNTIF($B$2:B247,'Por empresa'!$B$2),"")</f>
        <v/>
      </c>
    </row>
    <row r="248">
      <c r="A248" s="17" t="n"/>
      <c r="B248" s="17">
        <f>IF(A248="","",IFERROR(VLOOKUP(A248,Notificações!$A:$B,2,FALSE),"ID não encontrado"))</f>
        <v/>
      </c>
      <c r="C248" s="17" t="n"/>
      <c r="D248" s="17" t="n"/>
      <c r="E248" s="17">
        <f>IF(D248="","",IFERROR(VLOOKUP(D248,Catálogo!$A:$D,2,FALSE),"Código não está no Catálogo"))</f>
        <v/>
      </c>
      <c r="F248" s="17">
        <f>IF(D248="","",IFERROR(VLOOKUP(D248,Catálogo!$A:$D,4,FALSE),""))</f>
        <v/>
      </c>
      <c r="G248" s="17" t="n"/>
      <c r="H248" s="17">
        <f>IF(D248="",0,IF(COUNTIFS($A$2:A248,A248,$D$2:D248,D248)=1,1,0))</f>
        <v/>
      </c>
      <c r="I248" s="17" t="n"/>
      <c r="J248" s="17" t="n"/>
      <c r="K248" s="18" t="n"/>
      <c r="L248" s="17" t="n"/>
      <c r="M248">
        <f>IF(AND(B248&lt;&gt;"",B248='Por empresa'!$B$2),COUNTIF($B$2:B248,'Por empresa'!$B$2),"")</f>
        <v/>
      </c>
    </row>
    <row r="249">
      <c r="A249" s="17" t="n"/>
      <c r="B249" s="17">
        <f>IF(A249="","",IFERROR(VLOOKUP(A249,Notificações!$A:$B,2,FALSE),"ID não encontrado"))</f>
        <v/>
      </c>
      <c r="C249" s="17" t="n"/>
      <c r="D249" s="17" t="n"/>
      <c r="E249" s="17">
        <f>IF(D249="","",IFERROR(VLOOKUP(D249,Catálogo!$A:$D,2,FALSE),"Código não está no Catálogo"))</f>
        <v/>
      </c>
      <c r="F249" s="17">
        <f>IF(D249="","",IFERROR(VLOOKUP(D249,Catálogo!$A:$D,4,FALSE),""))</f>
        <v/>
      </c>
      <c r="G249" s="17" t="n"/>
      <c r="H249" s="17">
        <f>IF(D249="",0,IF(COUNTIFS($A$2:A249,A249,$D$2:D249,D249)=1,1,0))</f>
        <v/>
      </c>
      <c r="I249" s="17" t="n"/>
      <c r="J249" s="17" t="n"/>
      <c r="K249" s="18" t="n"/>
      <c r="L249" s="17" t="n"/>
      <c r="M249">
        <f>IF(AND(B249&lt;&gt;"",B249='Por empresa'!$B$2),COUNTIF($B$2:B249,'Por empresa'!$B$2),"")</f>
        <v/>
      </c>
    </row>
    <row r="250">
      <c r="A250" s="17" t="n"/>
      <c r="B250" s="17">
        <f>IF(A250="","",IFERROR(VLOOKUP(A250,Notificações!$A:$B,2,FALSE),"ID não encontrado"))</f>
        <v/>
      </c>
      <c r="C250" s="17" t="n"/>
      <c r="D250" s="17" t="n"/>
      <c r="E250" s="17">
        <f>IF(D250="","",IFERROR(VLOOKUP(D250,Catálogo!$A:$D,2,FALSE),"Código não está no Catálogo"))</f>
        <v/>
      </c>
      <c r="F250" s="17">
        <f>IF(D250="","",IFERROR(VLOOKUP(D250,Catálogo!$A:$D,4,FALSE),""))</f>
        <v/>
      </c>
      <c r="G250" s="17" t="n"/>
      <c r="H250" s="17">
        <f>IF(D250="",0,IF(COUNTIFS($A$2:A250,A250,$D$2:D250,D250)=1,1,0))</f>
        <v/>
      </c>
      <c r="I250" s="17" t="n"/>
      <c r="J250" s="17" t="n"/>
      <c r="K250" s="18" t="n"/>
      <c r="L250" s="17" t="n"/>
      <c r="M250">
        <f>IF(AND(B250&lt;&gt;"",B250='Por empresa'!$B$2),COUNTIF($B$2:B250,'Por empresa'!$B$2),"")</f>
        <v/>
      </c>
    </row>
    <row r="251">
      <c r="A251" s="17" t="n"/>
      <c r="B251" s="17">
        <f>IF(A251="","",IFERROR(VLOOKUP(A251,Notificações!$A:$B,2,FALSE),"ID não encontrado"))</f>
        <v/>
      </c>
      <c r="C251" s="17" t="n"/>
      <c r="D251" s="17" t="n"/>
      <c r="E251" s="17">
        <f>IF(D251="","",IFERROR(VLOOKUP(D251,Catálogo!$A:$D,2,FALSE),"Código não está no Catálogo"))</f>
        <v/>
      </c>
      <c r="F251" s="17">
        <f>IF(D251="","",IFERROR(VLOOKUP(D251,Catálogo!$A:$D,4,FALSE),""))</f>
        <v/>
      </c>
      <c r="G251" s="17" t="n"/>
      <c r="H251" s="17">
        <f>IF(D251="",0,IF(COUNTIFS($A$2:A251,A251,$D$2:D251,D251)=1,1,0))</f>
        <v/>
      </c>
      <c r="I251" s="17" t="n"/>
      <c r="J251" s="17" t="n"/>
      <c r="K251" s="18" t="n"/>
      <c r="L251" s="17" t="n"/>
      <c r="M251">
        <f>IF(AND(B251&lt;&gt;"",B251='Por empresa'!$B$2),COUNTIF($B$2:B251,'Por empresa'!$B$2),"")</f>
        <v/>
      </c>
    </row>
    <row r="252">
      <c r="A252" s="17" t="n"/>
      <c r="B252" s="17">
        <f>IF(A252="","",IFERROR(VLOOKUP(A252,Notificações!$A:$B,2,FALSE),"ID não encontrado"))</f>
        <v/>
      </c>
      <c r="C252" s="17" t="n"/>
      <c r="D252" s="17" t="n"/>
      <c r="E252" s="17">
        <f>IF(D252="","",IFERROR(VLOOKUP(D252,Catálogo!$A:$D,2,FALSE),"Código não está no Catálogo"))</f>
        <v/>
      </c>
      <c r="F252" s="17">
        <f>IF(D252="","",IFERROR(VLOOKUP(D252,Catálogo!$A:$D,4,FALSE),""))</f>
        <v/>
      </c>
      <c r="G252" s="17" t="n"/>
      <c r="H252" s="17">
        <f>IF(D252="",0,IF(COUNTIFS($A$2:A252,A252,$D$2:D252,D252)=1,1,0))</f>
        <v/>
      </c>
      <c r="I252" s="17" t="n"/>
      <c r="J252" s="17" t="n"/>
      <c r="K252" s="18" t="n"/>
      <c r="L252" s="17" t="n"/>
      <c r="M252">
        <f>IF(AND(B252&lt;&gt;"",B252='Por empresa'!$B$2),COUNTIF($B$2:B252,'Por empresa'!$B$2),"")</f>
        <v/>
      </c>
    </row>
    <row r="253">
      <c r="A253" s="17" t="n"/>
      <c r="B253" s="17">
        <f>IF(A253="","",IFERROR(VLOOKUP(A253,Notificações!$A:$B,2,FALSE),"ID não encontrado"))</f>
        <v/>
      </c>
      <c r="C253" s="17" t="n"/>
      <c r="D253" s="17" t="n"/>
      <c r="E253" s="17">
        <f>IF(D253="","",IFERROR(VLOOKUP(D253,Catálogo!$A:$D,2,FALSE),"Código não está no Catálogo"))</f>
        <v/>
      </c>
      <c r="F253" s="17">
        <f>IF(D253="","",IFERROR(VLOOKUP(D253,Catálogo!$A:$D,4,FALSE),""))</f>
        <v/>
      </c>
      <c r="G253" s="17" t="n"/>
      <c r="H253" s="17">
        <f>IF(D253="",0,IF(COUNTIFS($A$2:A253,A253,$D$2:D253,D253)=1,1,0))</f>
        <v/>
      </c>
      <c r="I253" s="17" t="n"/>
      <c r="J253" s="17" t="n"/>
      <c r="K253" s="18" t="n"/>
      <c r="L253" s="17" t="n"/>
      <c r="M253">
        <f>IF(AND(B253&lt;&gt;"",B253='Por empresa'!$B$2),COUNTIF($B$2:B253,'Por empresa'!$B$2),"")</f>
        <v/>
      </c>
    </row>
    <row r="254">
      <c r="A254" s="17" t="n"/>
      <c r="B254" s="17">
        <f>IF(A254="","",IFERROR(VLOOKUP(A254,Notificações!$A:$B,2,FALSE),"ID não encontrado"))</f>
        <v/>
      </c>
      <c r="C254" s="17" t="n"/>
      <c r="D254" s="17" t="n"/>
      <c r="E254" s="17">
        <f>IF(D254="","",IFERROR(VLOOKUP(D254,Catálogo!$A:$D,2,FALSE),"Código não está no Catálogo"))</f>
        <v/>
      </c>
      <c r="F254" s="17">
        <f>IF(D254="","",IFERROR(VLOOKUP(D254,Catálogo!$A:$D,4,FALSE),""))</f>
        <v/>
      </c>
      <c r="G254" s="17" t="n"/>
      <c r="H254" s="17">
        <f>IF(D254="",0,IF(COUNTIFS($A$2:A254,A254,$D$2:D254,D254)=1,1,0))</f>
        <v/>
      </c>
      <c r="I254" s="17" t="n"/>
      <c r="J254" s="17" t="n"/>
      <c r="K254" s="18" t="n"/>
      <c r="L254" s="17" t="n"/>
      <c r="M254">
        <f>IF(AND(B254&lt;&gt;"",B254='Por empresa'!$B$2),COUNTIF($B$2:B254,'Por empresa'!$B$2),"")</f>
        <v/>
      </c>
    </row>
    <row r="255">
      <c r="A255" s="17" t="n"/>
      <c r="B255" s="17">
        <f>IF(A255="","",IFERROR(VLOOKUP(A255,Notificações!$A:$B,2,FALSE),"ID não encontrado"))</f>
        <v/>
      </c>
      <c r="C255" s="17" t="n"/>
      <c r="D255" s="17" t="n"/>
      <c r="E255" s="17">
        <f>IF(D255="","",IFERROR(VLOOKUP(D255,Catálogo!$A:$D,2,FALSE),"Código não está no Catálogo"))</f>
        <v/>
      </c>
      <c r="F255" s="17">
        <f>IF(D255="","",IFERROR(VLOOKUP(D255,Catálogo!$A:$D,4,FALSE),""))</f>
        <v/>
      </c>
      <c r="G255" s="17" t="n"/>
      <c r="H255" s="17">
        <f>IF(D255="",0,IF(COUNTIFS($A$2:A255,A255,$D$2:D255,D255)=1,1,0))</f>
        <v/>
      </c>
      <c r="I255" s="17" t="n"/>
      <c r="J255" s="17" t="n"/>
      <c r="K255" s="18" t="n"/>
      <c r="L255" s="17" t="n"/>
      <c r="M255">
        <f>IF(AND(B255&lt;&gt;"",B255='Por empresa'!$B$2),COUNTIF($B$2:B255,'Por empresa'!$B$2),"")</f>
        <v/>
      </c>
    </row>
    <row r="256">
      <c r="A256" s="17" t="n"/>
      <c r="B256" s="17">
        <f>IF(A256="","",IFERROR(VLOOKUP(A256,Notificações!$A:$B,2,FALSE),"ID não encontrado"))</f>
        <v/>
      </c>
      <c r="C256" s="17" t="n"/>
      <c r="D256" s="17" t="n"/>
      <c r="E256" s="17">
        <f>IF(D256="","",IFERROR(VLOOKUP(D256,Catálogo!$A:$D,2,FALSE),"Código não está no Catálogo"))</f>
        <v/>
      </c>
      <c r="F256" s="17">
        <f>IF(D256="","",IFERROR(VLOOKUP(D256,Catálogo!$A:$D,4,FALSE),""))</f>
        <v/>
      </c>
      <c r="G256" s="17" t="n"/>
      <c r="H256" s="17">
        <f>IF(D256="",0,IF(COUNTIFS($A$2:A256,A256,$D$2:D256,D256)=1,1,0))</f>
        <v/>
      </c>
      <c r="I256" s="17" t="n"/>
      <c r="J256" s="17" t="n"/>
      <c r="K256" s="18" t="n"/>
      <c r="L256" s="17" t="n"/>
      <c r="M256">
        <f>IF(AND(B256&lt;&gt;"",B256='Por empresa'!$B$2),COUNTIF($B$2:B256,'Por empresa'!$B$2),"")</f>
        <v/>
      </c>
    </row>
    <row r="257">
      <c r="A257" s="17" t="n"/>
      <c r="B257" s="17">
        <f>IF(A257="","",IFERROR(VLOOKUP(A257,Notificações!$A:$B,2,FALSE),"ID não encontrado"))</f>
        <v/>
      </c>
      <c r="C257" s="17" t="n"/>
      <c r="D257" s="17" t="n"/>
      <c r="E257" s="17">
        <f>IF(D257="","",IFERROR(VLOOKUP(D257,Catálogo!$A:$D,2,FALSE),"Código não está no Catálogo"))</f>
        <v/>
      </c>
      <c r="F257" s="17">
        <f>IF(D257="","",IFERROR(VLOOKUP(D257,Catálogo!$A:$D,4,FALSE),""))</f>
        <v/>
      </c>
      <c r="G257" s="17" t="n"/>
      <c r="H257" s="17">
        <f>IF(D257="",0,IF(COUNTIFS($A$2:A257,A257,$D$2:D257,D257)=1,1,0))</f>
        <v/>
      </c>
      <c r="I257" s="17" t="n"/>
      <c r="J257" s="17" t="n"/>
      <c r="K257" s="18" t="n"/>
      <c r="L257" s="17" t="n"/>
      <c r="M257">
        <f>IF(AND(B257&lt;&gt;"",B257='Por empresa'!$B$2),COUNTIF($B$2:B257,'Por empresa'!$B$2),"")</f>
        <v/>
      </c>
    </row>
    <row r="258">
      <c r="A258" s="17" t="n"/>
      <c r="B258" s="17">
        <f>IF(A258="","",IFERROR(VLOOKUP(A258,Notificações!$A:$B,2,FALSE),"ID não encontrado"))</f>
        <v/>
      </c>
      <c r="C258" s="17" t="n"/>
      <c r="D258" s="17" t="n"/>
      <c r="E258" s="17">
        <f>IF(D258="","",IFERROR(VLOOKUP(D258,Catálogo!$A:$D,2,FALSE),"Código não está no Catálogo"))</f>
        <v/>
      </c>
      <c r="F258" s="17">
        <f>IF(D258="","",IFERROR(VLOOKUP(D258,Catálogo!$A:$D,4,FALSE),""))</f>
        <v/>
      </c>
      <c r="G258" s="17" t="n"/>
      <c r="H258" s="17">
        <f>IF(D258="",0,IF(COUNTIFS($A$2:A258,A258,$D$2:D258,D258)=1,1,0))</f>
        <v/>
      </c>
      <c r="I258" s="17" t="n"/>
      <c r="J258" s="17" t="n"/>
      <c r="K258" s="18" t="n"/>
      <c r="L258" s="17" t="n"/>
      <c r="M258">
        <f>IF(AND(B258&lt;&gt;"",B258='Por empresa'!$B$2),COUNTIF($B$2:B258,'Por empresa'!$B$2),"")</f>
        <v/>
      </c>
    </row>
    <row r="259">
      <c r="A259" s="17" t="n"/>
      <c r="B259" s="17">
        <f>IF(A259="","",IFERROR(VLOOKUP(A259,Notificações!$A:$B,2,FALSE),"ID não encontrado"))</f>
        <v/>
      </c>
      <c r="C259" s="17" t="n"/>
      <c r="D259" s="17" t="n"/>
      <c r="E259" s="17">
        <f>IF(D259="","",IFERROR(VLOOKUP(D259,Catálogo!$A:$D,2,FALSE),"Código não está no Catálogo"))</f>
        <v/>
      </c>
      <c r="F259" s="17">
        <f>IF(D259="","",IFERROR(VLOOKUP(D259,Catálogo!$A:$D,4,FALSE),""))</f>
        <v/>
      </c>
      <c r="G259" s="17" t="n"/>
      <c r="H259" s="17">
        <f>IF(D259="",0,IF(COUNTIFS($A$2:A259,A259,$D$2:D259,D259)=1,1,0))</f>
        <v/>
      </c>
      <c r="I259" s="17" t="n"/>
      <c r="J259" s="17" t="n"/>
      <c r="K259" s="18" t="n"/>
      <c r="L259" s="17" t="n"/>
      <c r="M259">
        <f>IF(AND(B259&lt;&gt;"",B259='Por empresa'!$B$2),COUNTIF($B$2:B259,'Por empresa'!$B$2),"")</f>
        <v/>
      </c>
    </row>
    <row r="260">
      <c r="A260" s="17" t="n"/>
      <c r="B260" s="17">
        <f>IF(A260="","",IFERROR(VLOOKUP(A260,Notificações!$A:$B,2,FALSE),"ID não encontrado"))</f>
        <v/>
      </c>
      <c r="C260" s="17" t="n"/>
      <c r="D260" s="17" t="n"/>
      <c r="E260" s="17">
        <f>IF(D260="","",IFERROR(VLOOKUP(D260,Catálogo!$A:$D,2,FALSE),"Código não está no Catálogo"))</f>
        <v/>
      </c>
      <c r="F260" s="17">
        <f>IF(D260="","",IFERROR(VLOOKUP(D260,Catálogo!$A:$D,4,FALSE),""))</f>
        <v/>
      </c>
      <c r="G260" s="17" t="n"/>
      <c r="H260" s="17">
        <f>IF(D260="",0,IF(COUNTIFS($A$2:A260,A260,$D$2:D260,D260)=1,1,0))</f>
        <v/>
      </c>
      <c r="I260" s="17" t="n"/>
      <c r="J260" s="17" t="n"/>
      <c r="K260" s="18" t="n"/>
      <c r="L260" s="17" t="n"/>
      <c r="M260">
        <f>IF(AND(B260&lt;&gt;"",B260='Por empresa'!$B$2),COUNTIF($B$2:B260,'Por empresa'!$B$2),"")</f>
        <v/>
      </c>
    </row>
    <row r="261">
      <c r="A261" s="17" t="n"/>
      <c r="B261" s="17">
        <f>IF(A261="","",IFERROR(VLOOKUP(A261,Notificações!$A:$B,2,FALSE),"ID não encontrado"))</f>
        <v/>
      </c>
      <c r="C261" s="17" t="n"/>
      <c r="D261" s="17" t="n"/>
      <c r="E261" s="17">
        <f>IF(D261="","",IFERROR(VLOOKUP(D261,Catálogo!$A:$D,2,FALSE),"Código não está no Catálogo"))</f>
        <v/>
      </c>
      <c r="F261" s="17">
        <f>IF(D261="","",IFERROR(VLOOKUP(D261,Catálogo!$A:$D,4,FALSE),""))</f>
        <v/>
      </c>
      <c r="G261" s="17" t="n"/>
      <c r="H261" s="17">
        <f>IF(D261="",0,IF(COUNTIFS($A$2:A261,A261,$D$2:D261,D261)=1,1,0))</f>
        <v/>
      </c>
      <c r="I261" s="17" t="n"/>
      <c r="J261" s="17" t="n"/>
      <c r="K261" s="18" t="n"/>
      <c r="L261" s="17" t="n"/>
      <c r="M261">
        <f>IF(AND(B261&lt;&gt;"",B261='Por empresa'!$B$2),COUNTIF($B$2:B261,'Por empresa'!$B$2),"")</f>
        <v/>
      </c>
    </row>
    <row r="262">
      <c r="A262" s="17" t="n"/>
      <c r="B262" s="17">
        <f>IF(A262="","",IFERROR(VLOOKUP(A262,Notificações!$A:$B,2,FALSE),"ID não encontrado"))</f>
        <v/>
      </c>
      <c r="C262" s="17" t="n"/>
      <c r="D262" s="17" t="n"/>
      <c r="E262" s="17">
        <f>IF(D262="","",IFERROR(VLOOKUP(D262,Catálogo!$A:$D,2,FALSE),"Código não está no Catálogo"))</f>
        <v/>
      </c>
      <c r="F262" s="17">
        <f>IF(D262="","",IFERROR(VLOOKUP(D262,Catálogo!$A:$D,4,FALSE),""))</f>
        <v/>
      </c>
      <c r="G262" s="17" t="n"/>
      <c r="H262" s="17">
        <f>IF(D262="",0,IF(COUNTIFS($A$2:A262,A262,$D$2:D262,D262)=1,1,0))</f>
        <v/>
      </c>
      <c r="I262" s="17" t="n"/>
      <c r="J262" s="17" t="n"/>
      <c r="K262" s="18" t="n"/>
      <c r="L262" s="17" t="n"/>
      <c r="M262">
        <f>IF(AND(B262&lt;&gt;"",B262='Por empresa'!$B$2),COUNTIF($B$2:B262,'Por empresa'!$B$2),"")</f>
        <v/>
      </c>
    </row>
    <row r="263">
      <c r="A263" s="17" t="n"/>
      <c r="B263" s="17">
        <f>IF(A263="","",IFERROR(VLOOKUP(A263,Notificações!$A:$B,2,FALSE),"ID não encontrado"))</f>
        <v/>
      </c>
      <c r="C263" s="17" t="n"/>
      <c r="D263" s="17" t="n"/>
      <c r="E263" s="17">
        <f>IF(D263="","",IFERROR(VLOOKUP(D263,Catálogo!$A:$D,2,FALSE),"Código não está no Catálogo"))</f>
        <v/>
      </c>
      <c r="F263" s="17">
        <f>IF(D263="","",IFERROR(VLOOKUP(D263,Catálogo!$A:$D,4,FALSE),""))</f>
        <v/>
      </c>
      <c r="G263" s="17" t="n"/>
      <c r="H263" s="17">
        <f>IF(D263="",0,IF(COUNTIFS($A$2:A263,A263,$D$2:D263,D263)=1,1,0))</f>
        <v/>
      </c>
      <c r="I263" s="17" t="n"/>
      <c r="J263" s="17" t="n"/>
      <c r="K263" s="18" t="n"/>
      <c r="L263" s="17" t="n"/>
      <c r="M263">
        <f>IF(AND(B263&lt;&gt;"",B263='Por empresa'!$B$2),COUNTIF($B$2:B263,'Por empresa'!$B$2),"")</f>
        <v/>
      </c>
    </row>
    <row r="264">
      <c r="A264" s="17" t="n"/>
      <c r="B264" s="17">
        <f>IF(A264="","",IFERROR(VLOOKUP(A264,Notificações!$A:$B,2,FALSE),"ID não encontrado"))</f>
        <v/>
      </c>
      <c r="C264" s="17" t="n"/>
      <c r="D264" s="17" t="n"/>
      <c r="E264" s="17">
        <f>IF(D264="","",IFERROR(VLOOKUP(D264,Catálogo!$A:$D,2,FALSE),"Código não está no Catálogo"))</f>
        <v/>
      </c>
      <c r="F264" s="17">
        <f>IF(D264="","",IFERROR(VLOOKUP(D264,Catálogo!$A:$D,4,FALSE),""))</f>
        <v/>
      </c>
      <c r="G264" s="17" t="n"/>
      <c r="H264" s="17">
        <f>IF(D264="",0,IF(COUNTIFS($A$2:A264,A264,$D$2:D264,D264)=1,1,0))</f>
        <v/>
      </c>
      <c r="I264" s="17" t="n"/>
      <c r="J264" s="17" t="n"/>
      <c r="K264" s="18" t="n"/>
      <c r="L264" s="17" t="n"/>
      <c r="M264">
        <f>IF(AND(B264&lt;&gt;"",B264='Por empresa'!$B$2),COUNTIF($B$2:B264,'Por empresa'!$B$2),"")</f>
        <v/>
      </c>
    </row>
    <row r="265">
      <c r="A265" s="17" t="n"/>
      <c r="B265" s="17">
        <f>IF(A265="","",IFERROR(VLOOKUP(A265,Notificações!$A:$B,2,FALSE),"ID não encontrado"))</f>
        <v/>
      </c>
      <c r="C265" s="17" t="n"/>
      <c r="D265" s="17" t="n"/>
      <c r="E265" s="17">
        <f>IF(D265="","",IFERROR(VLOOKUP(D265,Catálogo!$A:$D,2,FALSE),"Código não está no Catálogo"))</f>
        <v/>
      </c>
      <c r="F265" s="17">
        <f>IF(D265="","",IFERROR(VLOOKUP(D265,Catálogo!$A:$D,4,FALSE),""))</f>
        <v/>
      </c>
      <c r="G265" s="17" t="n"/>
      <c r="H265" s="17">
        <f>IF(D265="",0,IF(COUNTIFS($A$2:A265,A265,$D$2:D265,D265)=1,1,0))</f>
        <v/>
      </c>
      <c r="I265" s="17" t="n"/>
      <c r="J265" s="17" t="n"/>
      <c r="K265" s="18" t="n"/>
      <c r="L265" s="17" t="n"/>
      <c r="M265">
        <f>IF(AND(B265&lt;&gt;"",B265='Por empresa'!$B$2),COUNTIF($B$2:B265,'Por empresa'!$B$2),"")</f>
        <v/>
      </c>
    </row>
    <row r="266">
      <c r="A266" s="17" t="n"/>
      <c r="B266" s="17">
        <f>IF(A266="","",IFERROR(VLOOKUP(A266,Notificações!$A:$B,2,FALSE),"ID não encontrado"))</f>
        <v/>
      </c>
      <c r="C266" s="17" t="n"/>
      <c r="D266" s="17" t="n"/>
      <c r="E266" s="17">
        <f>IF(D266="","",IFERROR(VLOOKUP(D266,Catálogo!$A:$D,2,FALSE),"Código não está no Catálogo"))</f>
        <v/>
      </c>
      <c r="F266" s="17">
        <f>IF(D266="","",IFERROR(VLOOKUP(D266,Catálogo!$A:$D,4,FALSE),""))</f>
        <v/>
      </c>
      <c r="G266" s="17" t="n"/>
      <c r="H266" s="17">
        <f>IF(D266="",0,IF(COUNTIFS($A$2:A266,A266,$D$2:D266,D266)=1,1,0))</f>
        <v/>
      </c>
      <c r="I266" s="17" t="n"/>
      <c r="J266" s="17" t="n"/>
      <c r="K266" s="18" t="n"/>
      <c r="L266" s="17" t="n"/>
      <c r="M266">
        <f>IF(AND(B266&lt;&gt;"",B266='Por empresa'!$B$2),COUNTIF($B$2:B266,'Por empresa'!$B$2),"")</f>
        <v/>
      </c>
    </row>
    <row r="267">
      <c r="A267" s="17" t="n"/>
      <c r="B267" s="17">
        <f>IF(A267="","",IFERROR(VLOOKUP(A267,Notificações!$A:$B,2,FALSE),"ID não encontrado"))</f>
        <v/>
      </c>
      <c r="C267" s="17" t="n"/>
      <c r="D267" s="17" t="n"/>
      <c r="E267" s="17">
        <f>IF(D267="","",IFERROR(VLOOKUP(D267,Catálogo!$A:$D,2,FALSE),"Código não está no Catálogo"))</f>
        <v/>
      </c>
      <c r="F267" s="17">
        <f>IF(D267="","",IFERROR(VLOOKUP(D267,Catálogo!$A:$D,4,FALSE),""))</f>
        <v/>
      </c>
      <c r="G267" s="17" t="n"/>
      <c r="H267" s="17">
        <f>IF(D267="",0,IF(COUNTIFS($A$2:A267,A267,$D$2:D267,D267)=1,1,0))</f>
        <v/>
      </c>
      <c r="I267" s="17" t="n"/>
      <c r="J267" s="17" t="n"/>
      <c r="K267" s="18" t="n"/>
      <c r="L267" s="17" t="n"/>
      <c r="M267">
        <f>IF(AND(B267&lt;&gt;"",B267='Por empresa'!$B$2),COUNTIF($B$2:B267,'Por empresa'!$B$2),"")</f>
        <v/>
      </c>
    </row>
    <row r="268">
      <c r="A268" s="17" t="n"/>
      <c r="B268" s="17">
        <f>IF(A268="","",IFERROR(VLOOKUP(A268,Notificações!$A:$B,2,FALSE),"ID não encontrado"))</f>
        <v/>
      </c>
      <c r="C268" s="17" t="n"/>
      <c r="D268" s="17" t="n"/>
      <c r="E268" s="17">
        <f>IF(D268="","",IFERROR(VLOOKUP(D268,Catálogo!$A:$D,2,FALSE),"Código não está no Catálogo"))</f>
        <v/>
      </c>
      <c r="F268" s="17">
        <f>IF(D268="","",IFERROR(VLOOKUP(D268,Catálogo!$A:$D,4,FALSE),""))</f>
        <v/>
      </c>
      <c r="G268" s="17" t="n"/>
      <c r="H268" s="17">
        <f>IF(D268="",0,IF(COUNTIFS($A$2:A268,A268,$D$2:D268,D268)=1,1,0))</f>
        <v/>
      </c>
      <c r="I268" s="17" t="n"/>
      <c r="J268" s="17" t="n"/>
      <c r="K268" s="18" t="n"/>
      <c r="L268" s="17" t="n"/>
      <c r="M268">
        <f>IF(AND(B268&lt;&gt;"",B268='Por empresa'!$B$2),COUNTIF($B$2:B268,'Por empresa'!$B$2),"")</f>
        <v/>
      </c>
    </row>
    <row r="269">
      <c r="A269" s="17" t="n"/>
      <c r="B269" s="17">
        <f>IF(A269="","",IFERROR(VLOOKUP(A269,Notificações!$A:$B,2,FALSE),"ID não encontrado"))</f>
        <v/>
      </c>
      <c r="C269" s="17" t="n"/>
      <c r="D269" s="17" t="n"/>
      <c r="E269" s="17">
        <f>IF(D269="","",IFERROR(VLOOKUP(D269,Catálogo!$A:$D,2,FALSE),"Código não está no Catálogo"))</f>
        <v/>
      </c>
      <c r="F269" s="17">
        <f>IF(D269="","",IFERROR(VLOOKUP(D269,Catálogo!$A:$D,4,FALSE),""))</f>
        <v/>
      </c>
      <c r="G269" s="17" t="n"/>
      <c r="H269" s="17">
        <f>IF(D269="",0,IF(COUNTIFS($A$2:A269,A269,$D$2:D269,D269)=1,1,0))</f>
        <v/>
      </c>
      <c r="I269" s="17" t="n"/>
      <c r="J269" s="17" t="n"/>
      <c r="K269" s="18" t="n"/>
      <c r="L269" s="17" t="n"/>
      <c r="M269">
        <f>IF(AND(B269&lt;&gt;"",B269='Por empresa'!$B$2),COUNTIF($B$2:B269,'Por empresa'!$B$2),"")</f>
        <v/>
      </c>
    </row>
    <row r="270">
      <c r="A270" s="17" t="n"/>
      <c r="B270" s="17">
        <f>IF(A270="","",IFERROR(VLOOKUP(A270,Notificações!$A:$B,2,FALSE),"ID não encontrado"))</f>
        <v/>
      </c>
      <c r="C270" s="17" t="n"/>
      <c r="D270" s="17" t="n"/>
      <c r="E270" s="17">
        <f>IF(D270="","",IFERROR(VLOOKUP(D270,Catálogo!$A:$D,2,FALSE),"Código não está no Catálogo"))</f>
        <v/>
      </c>
      <c r="F270" s="17">
        <f>IF(D270="","",IFERROR(VLOOKUP(D270,Catálogo!$A:$D,4,FALSE),""))</f>
        <v/>
      </c>
      <c r="G270" s="17" t="n"/>
      <c r="H270" s="17">
        <f>IF(D270="",0,IF(COUNTIFS($A$2:A270,A270,$D$2:D270,D270)=1,1,0))</f>
        <v/>
      </c>
      <c r="I270" s="17" t="n"/>
      <c r="J270" s="17" t="n"/>
      <c r="K270" s="18" t="n"/>
      <c r="L270" s="17" t="n"/>
      <c r="M270">
        <f>IF(AND(B270&lt;&gt;"",B270='Por empresa'!$B$2),COUNTIF($B$2:B270,'Por empresa'!$B$2),"")</f>
        <v/>
      </c>
    </row>
    <row r="271">
      <c r="A271" s="17" t="n"/>
      <c r="B271" s="17">
        <f>IF(A271="","",IFERROR(VLOOKUP(A271,Notificações!$A:$B,2,FALSE),"ID não encontrado"))</f>
        <v/>
      </c>
      <c r="C271" s="17" t="n"/>
      <c r="D271" s="17" t="n"/>
      <c r="E271" s="17">
        <f>IF(D271="","",IFERROR(VLOOKUP(D271,Catálogo!$A:$D,2,FALSE),"Código não está no Catálogo"))</f>
        <v/>
      </c>
      <c r="F271" s="17">
        <f>IF(D271="","",IFERROR(VLOOKUP(D271,Catálogo!$A:$D,4,FALSE),""))</f>
        <v/>
      </c>
      <c r="G271" s="17" t="n"/>
      <c r="H271" s="17">
        <f>IF(D271="",0,IF(COUNTIFS($A$2:A271,A271,$D$2:D271,D271)=1,1,0))</f>
        <v/>
      </c>
      <c r="I271" s="17" t="n"/>
      <c r="J271" s="17" t="n"/>
      <c r="K271" s="18" t="n"/>
      <c r="L271" s="17" t="n"/>
      <c r="M271">
        <f>IF(AND(B271&lt;&gt;"",B271='Por empresa'!$B$2),COUNTIF($B$2:B271,'Por empresa'!$B$2),"")</f>
        <v/>
      </c>
    </row>
    <row r="272">
      <c r="A272" s="17" t="n"/>
      <c r="B272" s="17">
        <f>IF(A272="","",IFERROR(VLOOKUP(A272,Notificações!$A:$B,2,FALSE),"ID não encontrado"))</f>
        <v/>
      </c>
      <c r="C272" s="17" t="n"/>
      <c r="D272" s="17" t="n"/>
      <c r="E272" s="17">
        <f>IF(D272="","",IFERROR(VLOOKUP(D272,Catálogo!$A:$D,2,FALSE),"Código não está no Catálogo"))</f>
        <v/>
      </c>
      <c r="F272" s="17">
        <f>IF(D272="","",IFERROR(VLOOKUP(D272,Catálogo!$A:$D,4,FALSE),""))</f>
        <v/>
      </c>
      <c r="G272" s="17" t="n"/>
      <c r="H272" s="17">
        <f>IF(D272="",0,IF(COUNTIFS($A$2:A272,A272,$D$2:D272,D272)=1,1,0))</f>
        <v/>
      </c>
      <c r="I272" s="17" t="n"/>
      <c r="J272" s="17" t="n"/>
      <c r="K272" s="18" t="n"/>
      <c r="L272" s="17" t="n"/>
      <c r="M272">
        <f>IF(AND(B272&lt;&gt;"",B272='Por empresa'!$B$2),COUNTIF($B$2:B272,'Por empresa'!$B$2),"")</f>
        <v/>
      </c>
    </row>
    <row r="273">
      <c r="A273" s="17" t="n"/>
      <c r="B273" s="17">
        <f>IF(A273="","",IFERROR(VLOOKUP(A273,Notificações!$A:$B,2,FALSE),"ID não encontrado"))</f>
        <v/>
      </c>
      <c r="C273" s="17" t="n"/>
      <c r="D273" s="17" t="n"/>
      <c r="E273" s="17">
        <f>IF(D273="","",IFERROR(VLOOKUP(D273,Catálogo!$A:$D,2,FALSE),"Código não está no Catálogo"))</f>
        <v/>
      </c>
      <c r="F273" s="17">
        <f>IF(D273="","",IFERROR(VLOOKUP(D273,Catálogo!$A:$D,4,FALSE),""))</f>
        <v/>
      </c>
      <c r="G273" s="17" t="n"/>
      <c r="H273" s="17">
        <f>IF(D273="",0,IF(COUNTIFS($A$2:A273,A273,$D$2:D273,D273)=1,1,0))</f>
        <v/>
      </c>
      <c r="I273" s="17" t="n"/>
      <c r="J273" s="17" t="n"/>
      <c r="K273" s="18" t="n"/>
      <c r="L273" s="17" t="n"/>
      <c r="M273">
        <f>IF(AND(B273&lt;&gt;"",B273='Por empresa'!$B$2),COUNTIF($B$2:B273,'Por empresa'!$B$2),"")</f>
        <v/>
      </c>
    </row>
    <row r="274">
      <c r="A274" s="17" t="n"/>
      <c r="B274" s="17">
        <f>IF(A274="","",IFERROR(VLOOKUP(A274,Notificações!$A:$B,2,FALSE),"ID não encontrado"))</f>
        <v/>
      </c>
      <c r="C274" s="17" t="n"/>
      <c r="D274" s="17" t="n"/>
      <c r="E274" s="17">
        <f>IF(D274="","",IFERROR(VLOOKUP(D274,Catálogo!$A:$D,2,FALSE),"Código não está no Catálogo"))</f>
        <v/>
      </c>
      <c r="F274" s="17">
        <f>IF(D274="","",IFERROR(VLOOKUP(D274,Catálogo!$A:$D,4,FALSE),""))</f>
        <v/>
      </c>
      <c r="G274" s="17" t="n"/>
      <c r="H274" s="17">
        <f>IF(D274="",0,IF(COUNTIFS($A$2:A274,A274,$D$2:D274,D274)=1,1,0))</f>
        <v/>
      </c>
      <c r="I274" s="17" t="n"/>
      <c r="J274" s="17" t="n"/>
      <c r="K274" s="18" t="n"/>
      <c r="L274" s="17" t="n"/>
      <c r="M274">
        <f>IF(AND(B274&lt;&gt;"",B274='Por empresa'!$B$2),COUNTIF($B$2:B274,'Por empresa'!$B$2),"")</f>
        <v/>
      </c>
    </row>
    <row r="275">
      <c r="A275" s="17" t="n"/>
      <c r="B275" s="17">
        <f>IF(A275="","",IFERROR(VLOOKUP(A275,Notificações!$A:$B,2,FALSE),"ID não encontrado"))</f>
        <v/>
      </c>
      <c r="C275" s="17" t="n"/>
      <c r="D275" s="17" t="n"/>
      <c r="E275" s="17">
        <f>IF(D275="","",IFERROR(VLOOKUP(D275,Catálogo!$A:$D,2,FALSE),"Código não está no Catálogo"))</f>
        <v/>
      </c>
      <c r="F275" s="17">
        <f>IF(D275="","",IFERROR(VLOOKUP(D275,Catálogo!$A:$D,4,FALSE),""))</f>
        <v/>
      </c>
      <c r="G275" s="17" t="n"/>
      <c r="H275" s="17">
        <f>IF(D275="",0,IF(COUNTIFS($A$2:A275,A275,$D$2:D275,D275)=1,1,0))</f>
        <v/>
      </c>
      <c r="I275" s="17" t="n"/>
      <c r="J275" s="17" t="n"/>
      <c r="K275" s="18" t="n"/>
      <c r="L275" s="17" t="n"/>
      <c r="M275">
        <f>IF(AND(B275&lt;&gt;"",B275='Por empresa'!$B$2),COUNTIF($B$2:B275,'Por empresa'!$B$2),"")</f>
        <v/>
      </c>
    </row>
    <row r="276">
      <c r="A276" s="17" t="n"/>
      <c r="B276" s="17">
        <f>IF(A276="","",IFERROR(VLOOKUP(A276,Notificações!$A:$B,2,FALSE),"ID não encontrado"))</f>
        <v/>
      </c>
      <c r="C276" s="17" t="n"/>
      <c r="D276" s="17" t="n"/>
      <c r="E276" s="17">
        <f>IF(D276="","",IFERROR(VLOOKUP(D276,Catálogo!$A:$D,2,FALSE),"Código não está no Catálogo"))</f>
        <v/>
      </c>
      <c r="F276" s="17">
        <f>IF(D276="","",IFERROR(VLOOKUP(D276,Catálogo!$A:$D,4,FALSE),""))</f>
        <v/>
      </c>
      <c r="G276" s="17" t="n"/>
      <c r="H276" s="17">
        <f>IF(D276="",0,IF(COUNTIFS($A$2:A276,A276,$D$2:D276,D276)=1,1,0))</f>
        <v/>
      </c>
      <c r="I276" s="17" t="n"/>
      <c r="J276" s="17" t="n"/>
      <c r="K276" s="18" t="n"/>
      <c r="L276" s="17" t="n"/>
      <c r="M276">
        <f>IF(AND(B276&lt;&gt;"",B276='Por empresa'!$B$2),COUNTIF($B$2:B276,'Por empresa'!$B$2),"")</f>
        <v/>
      </c>
    </row>
    <row r="277">
      <c r="A277" s="17" t="n"/>
      <c r="B277" s="17">
        <f>IF(A277="","",IFERROR(VLOOKUP(A277,Notificações!$A:$B,2,FALSE),"ID não encontrado"))</f>
        <v/>
      </c>
      <c r="C277" s="17" t="n"/>
      <c r="D277" s="17" t="n"/>
      <c r="E277" s="17">
        <f>IF(D277="","",IFERROR(VLOOKUP(D277,Catálogo!$A:$D,2,FALSE),"Código não está no Catálogo"))</f>
        <v/>
      </c>
      <c r="F277" s="17">
        <f>IF(D277="","",IFERROR(VLOOKUP(D277,Catálogo!$A:$D,4,FALSE),""))</f>
        <v/>
      </c>
      <c r="G277" s="17" t="n"/>
      <c r="H277" s="17">
        <f>IF(D277="",0,IF(COUNTIFS($A$2:A277,A277,$D$2:D277,D277)=1,1,0))</f>
        <v/>
      </c>
      <c r="I277" s="17" t="n"/>
      <c r="J277" s="17" t="n"/>
      <c r="K277" s="18" t="n"/>
      <c r="L277" s="17" t="n"/>
      <c r="M277">
        <f>IF(AND(B277&lt;&gt;"",B277='Por empresa'!$B$2),COUNTIF($B$2:B277,'Por empresa'!$B$2),"")</f>
        <v/>
      </c>
    </row>
    <row r="278">
      <c r="A278" s="17" t="n"/>
      <c r="B278" s="17">
        <f>IF(A278="","",IFERROR(VLOOKUP(A278,Notificações!$A:$B,2,FALSE),"ID não encontrado"))</f>
        <v/>
      </c>
      <c r="C278" s="17" t="n"/>
      <c r="D278" s="17" t="n"/>
      <c r="E278" s="17">
        <f>IF(D278="","",IFERROR(VLOOKUP(D278,Catálogo!$A:$D,2,FALSE),"Código não está no Catálogo"))</f>
        <v/>
      </c>
      <c r="F278" s="17">
        <f>IF(D278="","",IFERROR(VLOOKUP(D278,Catálogo!$A:$D,4,FALSE),""))</f>
        <v/>
      </c>
      <c r="G278" s="17" t="n"/>
      <c r="H278" s="17">
        <f>IF(D278="",0,IF(COUNTIFS($A$2:A278,A278,$D$2:D278,D278)=1,1,0))</f>
        <v/>
      </c>
      <c r="I278" s="17" t="n"/>
      <c r="J278" s="17" t="n"/>
      <c r="K278" s="18" t="n"/>
      <c r="L278" s="17" t="n"/>
      <c r="M278">
        <f>IF(AND(B278&lt;&gt;"",B278='Por empresa'!$B$2),COUNTIF($B$2:B278,'Por empresa'!$B$2),"")</f>
        <v/>
      </c>
    </row>
    <row r="279">
      <c r="A279" s="17" t="n"/>
      <c r="B279" s="17">
        <f>IF(A279="","",IFERROR(VLOOKUP(A279,Notificações!$A:$B,2,FALSE),"ID não encontrado"))</f>
        <v/>
      </c>
      <c r="C279" s="17" t="n"/>
      <c r="D279" s="17" t="n"/>
      <c r="E279" s="17">
        <f>IF(D279="","",IFERROR(VLOOKUP(D279,Catálogo!$A:$D,2,FALSE),"Código não está no Catálogo"))</f>
        <v/>
      </c>
      <c r="F279" s="17">
        <f>IF(D279="","",IFERROR(VLOOKUP(D279,Catálogo!$A:$D,4,FALSE),""))</f>
        <v/>
      </c>
      <c r="G279" s="17" t="n"/>
      <c r="H279" s="17">
        <f>IF(D279="",0,IF(COUNTIFS($A$2:A279,A279,$D$2:D279,D279)=1,1,0))</f>
        <v/>
      </c>
      <c r="I279" s="17" t="n"/>
      <c r="J279" s="17" t="n"/>
      <c r="K279" s="18" t="n"/>
      <c r="L279" s="17" t="n"/>
      <c r="M279">
        <f>IF(AND(B279&lt;&gt;"",B279='Por empresa'!$B$2),COUNTIF($B$2:B279,'Por empresa'!$B$2),"")</f>
        <v/>
      </c>
    </row>
    <row r="280">
      <c r="A280" s="17" t="n"/>
      <c r="B280" s="17">
        <f>IF(A280="","",IFERROR(VLOOKUP(A280,Notificações!$A:$B,2,FALSE),"ID não encontrado"))</f>
        <v/>
      </c>
      <c r="C280" s="17" t="n"/>
      <c r="D280" s="17" t="n"/>
      <c r="E280" s="17">
        <f>IF(D280="","",IFERROR(VLOOKUP(D280,Catálogo!$A:$D,2,FALSE),"Código não está no Catálogo"))</f>
        <v/>
      </c>
      <c r="F280" s="17">
        <f>IF(D280="","",IFERROR(VLOOKUP(D280,Catálogo!$A:$D,4,FALSE),""))</f>
        <v/>
      </c>
      <c r="G280" s="17" t="n"/>
      <c r="H280" s="17">
        <f>IF(D280="",0,IF(COUNTIFS($A$2:A280,A280,$D$2:D280,D280)=1,1,0))</f>
        <v/>
      </c>
      <c r="I280" s="17" t="n"/>
      <c r="J280" s="17" t="n"/>
      <c r="K280" s="18" t="n"/>
      <c r="L280" s="17" t="n"/>
      <c r="M280">
        <f>IF(AND(B280&lt;&gt;"",B280='Por empresa'!$B$2),COUNTIF($B$2:B280,'Por empresa'!$B$2),"")</f>
        <v/>
      </c>
    </row>
    <row r="281">
      <c r="A281" s="17" t="n"/>
      <c r="B281" s="17">
        <f>IF(A281="","",IFERROR(VLOOKUP(A281,Notificações!$A:$B,2,FALSE),"ID não encontrado"))</f>
        <v/>
      </c>
      <c r="C281" s="17" t="n"/>
      <c r="D281" s="17" t="n"/>
      <c r="E281" s="17">
        <f>IF(D281="","",IFERROR(VLOOKUP(D281,Catálogo!$A:$D,2,FALSE),"Código não está no Catálogo"))</f>
        <v/>
      </c>
      <c r="F281" s="17">
        <f>IF(D281="","",IFERROR(VLOOKUP(D281,Catálogo!$A:$D,4,FALSE),""))</f>
        <v/>
      </c>
      <c r="G281" s="17" t="n"/>
      <c r="H281" s="17">
        <f>IF(D281="",0,IF(COUNTIFS($A$2:A281,A281,$D$2:D281,D281)=1,1,0))</f>
        <v/>
      </c>
      <c r="I281" s="17" t="n"/>
      <c r="J281" s="17" t="n"/>
      <c r="K281" s="18" t="n"/>
      <c r="L281" s="17" t="n"/>
      <c r="M281">
        <f>IF(AND(B281&lt;&gt;"",B281='Por empresa'!$B$2),COUNTIF($B$2:B281,'Por empresa'!$B$2),"")</f>
        <v/>
      </c>
    </row>
    <row r="282">
      <c r="A282" s="17" t="n"/>
      <c r="B282" s="17">
        <f>IF(A282="","",IFERROR(VLOOKUP(A282,Notificações!$A:$B,2,FALSE),"ID não encontrado"))</f>
        <v/>
      </c>
      <c r="C282" s="17" t="n"/>
      <c r="D282" s="17" t="n"/>
      <c r="E282" s="17">
        <f>IF(D282="","",IFERROR(VLOOKUP(D282,Catálogo!$A:$D,2,FALSE),"Código não está no Catálogo"))</f>
        <v/>
      </c>
      <c r="F282" s="17">
        <f>IF(D282="","",IFERROR(VLOOKUP(D282,Catálogo!$A:$D,4,FALSE),""))</f>
        <v/>
      </c>
      <c r="G282" s="17" t="n"/>
      <c r="H282" s="17">
        <f>IF(D282="",0,IF(COUNTIFS($A$2:A282,A282,$D$2:D282,D282)=1,1,0))</f>
        <v/>
      </c>
      <c r="I282" s="17" t="n"/>
      <c r="J282" s="17" t="n"/>
      <c r="K282" s="18" t="n"/>
      <c r="L282" s="17" t="n"/>
      <c r="M282">
        <f>IF(AND(B282&lt;&gt;"",B282='Por empresa'!$B$2),COUNTIF($B$2:B282,'Por empresa'!$B$2),"")</f>
        <v/>
      </c>
    </row>
    <row r="283">
      <c r="A283" s="17" t="n"/>
      <c r="B283" s="17">
        <f>IF(A283="","",IFERROR(VLOOKUP(A283,Notificações!$A:$B,2,FALSE),"ID não encontrado"))</f>
        <v/>
      </c>
      <c r="C283" s="17" t="n"/>
      <c r="D283" s="17" t="n"/>
      <c r="E283" s="17">
        <f>IF(D283="","",IFERROR(VLOOKUP(D283,Catálogo!$A:$D,2,FALSE),"Código não está no Catálogo"))</f>
        <v/>
      </c>
      <c r="F283" s="17">
        <f>IF(D283="","",IFERROR(VLOOKUP(D283,Catálogo!$A:$D,4,FALSE),""))</f>
        <v/>
      </c>
      <c r="G283" s="17" t="n"/>
      <c r="H283" s="17">
        <f>IF(D283="",0,IF(COUNTIFS($A$2:A283,A283,$D$2:D283,D283)=1,1,0))</f>
        <v/>
      </c>
      <c r="I283" s="17" t="n"/>
      <c r="J283" s="17" t="n"/>
      <c r="K283" s="18" t="n"/>
      <c r="L283" s="17" t="n"/>
      <c r="M283">
        <f>IF(AND(B283&lt;&gt;"",B283='Por empresa'!$B$2),COUNTIF($B$2:B283,'Por empresa'!$B$2),"")</f>
        <v/>
      </c>
    </row>
    <row r="284">
      <c r="A284" s="17" t="n"/>
      <c r="B284" s="17">
        <f>IF(A284="","",IFERROR(VLOOKUP(A284,Notificações!$A:$B,2,FALSE),"ID não encontrado"))</f>
        <v/>
      </c>
      <c r="C284" s="17" t="n"/>
      <c r="D284" s="17" t="n"/>
      <c r="E284" s="17">
        <f>IF(D284="","",IFERROR(VLOOKUP(D284,Catálogo!$A:$D,2,FALSE),"Código não está no Catálogo"))</f>
        <v/>
      </c>
      <c r="F284" s="17">
        <f>IF(D284="","",IFERROR(VLOOKUP(D284,Catálogo!$A:$D,4,FALSE),""))</f>
        <v/>
      </c>
      <c r="G284" s="17" t="n"/>
      <c r="H284" s="17">
        <f>IF(D284="",0,IF(COUNTIFS($A$2:A284,A284,$D$2:D284,D284)=1,1,0))</f>
        <v/>
      </c>
      <c r="I284" s="17" t="n"/>
      <c r="J284" s="17" t="n"/>
      <c r="K284" s="18" t="n"/>
      <c r="L284" s="17" t="n"/>
      <c r="M284">
        <f>IF(AND(B284&lt;&gt;"",B284='Por empresa'!$B$2),COUNTIF($B$2:B284,'Por empresa'!$B$2),"")</f>
        <v/>
      </c>
    </row>
    <row r="285">
      <c r="A285" s="17" t="n"/>
      <c r="B285" s="17">
        <f>IF(A285="","",IFERROR(VLOOKUP(A285,Notificações!$A:$B,2,FALSE),"ID não encontrado"))</f>
        <v/>
      </c>
      <c r="C285" s="17" t="n"/>
      <c r="D285" s="17" t="n"/>
      <c r="E285" s="17">
        <f>IF(D285="","",IFERROR(VLOOKUP(D285,Catálogo!$A:$D,2,FALSE),"Código não está no Catálogo"))</f>
        <v/>
      </c>
      <c r="F285" s="17">
        <f>IF(D285="","",IFERROR(VLOOKUP(D285,Catálogo!$A:$D,4,FALSE),""))</f>
        <v/>
      </c>
      <c r="G285" s="17" t="n"/>
      <c r="H285" s="17">
        <f>IF(D285="",0,IF(COUNTIFS($A$2:A285,A285,$D$2:D285,D285)=1,1,0))</f>
        <v/>
      </c>
      <c r="I285" s="17" t="n"/>
      <c r="J285" s="17" t="n"/>
      <c r="K285" s="18" t="n"/>
      <c r="L285" s="17" t="n"/>
      <c r="M285">
        <f>IF(AND(B285&lt;&gt;"",B285='Por empresa'!$B$2),COUNTIF($B$2:B285,'Por empresa'!$B$2),"")</f>
        <v/>
      </c>
    </row>
    <row r="286">
      <c r="A286" s="17" t="n"/>
      <c r="B286" s="17">
        <f>IF(A286="","",IFERROR(VLOOKUP(A286,Notificações!$A:$B,2,FALSE),"ID não encontrado"))</f>
        <v/>
      </c>
      <c r="C286" s="17" t="n"/>
      <c r="D286" s="17" t="n"/>
      <c r="E286" s="17">
        <f>IF(D286="","",IFERROR(VLOOKUP(D286,Catálogo!$A:$D,2,FALSE),"Código não está no Catálogo"))</f>
        <v/>
      </c>
      <c r="F286" s="17">
        <f>IF(D286="","",IFERROR(VLOOKUP(D286,Catálogo!$A:$D,4,FALSE),""))</f>
        <v/>
      </c>
      <c r="G286" s="17" t="n"/>
      <c r="H286" s="17">
        <f>IF(D286="",0,IF(COUNTIFS($A$2:A286,A286,$D$2:D286,D286)=1,1,0))</f>
        <v/>
      </c>
      <c r="I286" s="17" t="n"/>
      <c r="J286" s="17" t="n"/>
      <c r="K286" s="18" t="n"/>
      <c r="L286" s="17" t="n"/>
      <c r="M286">
        <f>IF(AND(B286&lt;&gt;"",B286='Por empresa'!$B$2),COUNTIF($B$2:B286,'Por empresa'!$B$2),"")</f>
        <v/>
      </c>
    </row>
    <row r="287">
      <c r="A287" s="17" t="n"/>
      <c r="B287" s="17">
        <f>IF(A287="","",IFERROR(VLOOKUP(A287,Notificações!$A:$B,2,FALSE),"ID não encontrado"))</f>
        <v/>
      </c>
      <c r="C287" s="17" t="n"/>
      <c r="D287" s="17" t="n"/>
      <c r="E287" s="17">
        <f>IF(D287="","",IFERROR(VLOOKUP(D287,Catálogo!$A:$D,2,FALSE),"Código não está no Catálogo"))</f>
        <v/>
      </c>
      <c r="F287" s="17">
        <f>IF(D287="","",IFERROR(VLOOKUP(D287,Catálogo!$A:$D,4,FALSE),""))</f>
        <v/>
      </c>
      <c r="G287" s="17" t="n"/>
      <c r="H287" s="17">
        <f>IF(D287="",0,IF(COUNTIFS($A$2:A287,A287,$D$2:D287,D287)=1,1,0))</f>
        <v/>
      </c>
      <c r="I287" s="17" t="n"/>
      <c r="J287" s="17" t="n"/>
      <c r="K287" s="18" t="n"/>
      <c r="L287" s="17" t="n"/>
      <c r="M287">
        <f>IF(AND(B287&lt;&gt;"",B287='Por empresa'!$B$2),COUNTIF($B$2:B287,'Por empresa'!$B$2),"")</f>
        <v/>
      </c>
    </row>
    <row r="288">
      <c r="A288" s="17" t="n"/>
      <c r="B288" s="17">
        <f>IF(A288="","",IFERROR(VLOOKUP(A288,Notificações!$A:$B,2,FALSE),"ID não encontrado"))</f>
        <v/>
      </c>
      <c r="C288" s="17" t="n"/>
      <c r="D288" s="17" t="n"/>
      <c r="E288" s="17">
        <f>IF(D288="","",IFERROR(VLOOKUP(D288,Catálogo!$A:$D,2,FALSE),"Código não está no Catálogo"))</f>
        <v/>
      </c>
      <c r="F288" s="17">
        <f>IF(D288="","",IFERROR(VLOOKUP(D288,Catálogo!$A:$D,4,FALSE),""))</f>
        <v/>
      </c>
      <c r="G288" s="17" t="n"/>
      <c r="H288" s="17">
        <f>IF(D288="",0,IF(COUNTIFS($A$2:A288,A288,$D$2:D288,D288)=1,1,0))</f>
        <v/>
      </c>
      <c r="I288" s="17" t="n"/>
      <c r="J288" s="17" t="n"/>
      <c r="K288" s="18" t="n"/>
      <c r="L288" s="17" t="n"/>
      <c r="M288">
        <f>IF(AND(B288&lt;&gt;"",B288='Por empresa'!$B$2),COUNTIF($B$2:B288,'Por empresa'!$B$2),"")</f>
        <v/>
      </c>
    </row>
    <row r="289">
      <c r="A289" s="17" t="n"/>
      <c r="B289" s="17">
        <f>IF(A289="","",IFERROR(VLOOKUP(A289,Notificações!$A:$B,2,FALSE),"ID não encontrado"))</f>
        <v/>
      </c>
      <c r="C289" s="17" t="n"/>
      <c r="D289" s="17" t="n"/>
      <c r="E289" s="17">
        <f>IF(D289="","",IFERROR(VLOOKUP(D289,Catálogo!$A:$D,2,FALSE),"Código não está no Catálogo"))</f>
        <v/>
      </c>
      <c r="F289" s="17">
        <f>IF(D289="","",IFERROR(VLOOKUP(D289,Catálogo!$A:$D,4,FALSE),""))</f>
        <v/>
      </c>
      <c r="G289" s="17" t="n"/>
      <c r="H289" s="17">
        <f>IF(D289="",0,IF(COUNTIFS($A$2:A289,A289,$D$2:D289,D289)=1,1,0))</f>
        <v/>
      </c>
      <c r="I289" s="17" t="n"/>
      <c r="J289" s="17" t="n"/>
      <c r="K289" s="18" t="n"/>
      <c r="L289" s="17" t="n"/>
      <c r="M289">
        <f>IF(AND(B289&lt;&gt;"",B289='Por empresa'!$B$2),COUNTIF($B$2:B289,'Por empresa'!$B$2),"")</f>
        <v/>
      </c>
    </row>
    <row r="290">
      <c r="A290" s="17" t="n"/>
      <c r="B290" s="17">
        <f>IF(A290="","",IFERROR(VLOOKUP(A290,Notificações!$A:$B,2,FALSE),"ID não encontrado"))</f>
        <v/>
      </c>
      <c r="C290" s="17" t="n"/>
      <c r="D290" s="17" t="n"/>
      <c r="E290" s="17">
        <f>IF(D290="","",IFERROR(VLOOKUP(D290,Catálogo!$A:$D,2,FALSE),"Código não está no Catálogo"))</f>
        <v/>
      </c>
      <c r="F290" s="17">
        <f>IF(D290="","",IFERROR(VLOOKUP(D290,Catálogo!$A:$D,4,FALSE),""))</f>
        <v/>
      </c>
      <c r="G290" s="17" t="n"/>
      <c r="H290" s="17">
        <f>IF(D290="",0,IF(COUNTIFS($A$2:A290,A290,$D$2:D290,D290)=1,1,0))</f>
        <v/>
      </c>
      <c r="I290" s="17" t="n"/>
      <c r="J290" s="17" t="n"/>
      <c r="K290" s="18" t="n"/>
      <c r="L290" s="17" t="n"/>
      <c r="M290">
        <f>IF(AND(B290&lt;&gt;"",B290='Por empresa'!$B$2),COUNTIF($B$2:B290,'Por empresa'!$B$2),"")</f>
        <v/>
      </c>
    </row>
    <row r="291">
      <c r="A291" s="17" t="n"/>
      <c r="B291" s="17">
        <f>IF(A291="","",IFERROR(VLOOKUP(A291,Notificações!$A:$B,2,FALSE),"ID não encontrado"))</f>
        <v/>
      </c>
      <c r="C291" s="17" t="n"/>
      <c r="D291" s="17" t="n"/>
      <c r="E291" s="17">
        <f>IF(D291="","",IFERROR(VLOOKUP(D291,Catálogo!$A:$D,2,FALSE),"Código não está no Catálogo"))</f>
        <v/>
      </c>
      <c r="F291" s="17">
        <f>IF(D291="","",IFERROR(VLOOKUP(D291,Catálogo!$A:$D,4,FALSE),""))</f>
        <v/>
      </c>
      <c r="G291" s="17" t="n"/>
      <c r="H291" s="17">
        <f>IF(D291="",0,IF(COUNTIFS($A$2:A291,A291,$D$2:D291,D291)=1,1,0))</f>
        <v/>
      </c>
      <c r="I291" s="17" t="n"/>
      <c r="J291" s="17" t="n"/>
      <c r="K291" s="18" t="n"/>
      <c r="L291" s="17" t="n"/>
      <c r="M291">
        <f>IF(AND(B291&lt;&gt;"",B291='Por empresa'!$B$2),COUNTIF($B$2:B291,'Por empresa'!$B$2),"")</f>
        <v/>
      </c>
    </row>
    <row r="292">
      <c r="A292" s="17" t="n"/>
      <c r="B292" s="17">
        <f>IF(A292="","",IFERROR(VLOOKUP(A292,Notificações!$A:$B,2,FALSE),"ID não encontrado"))</f>
        <v/>
      </c>
      <c r="C292" s="17" t="n"/>
      <c r="D292" s="17" t="n"/>
      <c r="E292" s="17">
        <f>IF(D292="","",IFERROR(VLOOKUP(D292,Catálogo!$A:$D,2,FALSE),"Código não está no Catálogo"))</f>
        <v/>
      </c>
      <c r="F292" s="17">
        <f>IF(D292="","",IFERROR(VLOOKUP(D292,Catálogo!$A:$D,4,FALSE),""))</f>
        <v/>
      </c>
      <c r="G292" s="17" t="n"/>
      <c r="H292" s="17">
        <f>IF(D292="",0,IF(COUNTIFS($A$2:A292,A292,$D$2:D292,D292)=1,1,0))</f>
        <v/>
      </c>
      <c r="I292" s="17" t="n"/>
      <c r="J292" s="17" t="n"/>
      <c r="K292" s="18" t="n"/>
      <c r="L292" s="17" t="n"/>
      <c r="M292">
        <f>IF(AND(B292&lt;&gt;"",B292='Por empresa'!$B$2),COUNTIF($B$2:B292,'Por empresa'!$B$2),"")</f>
        <v/>
      </c>
    </row>
    <row r="293">
      <c r="A293" s="17" t="n"/>
      <c r="B293" s="17">
        <f>IF(A293="","",IFERROR(VLOOKUP(A293,Notificações!$A:$B,2,FALSE),"ID não encontrado"))</f>
        <v/>
      </c>
      <c r="C293" s="17" t="n"/>
      <c r="D293" s="17" t="n"/>
      <c r="E293" s="17">
        <f>IF(D293="","",IFERROR(VLOOKUP(D293,Catálogo!$A:$D,2,FALSE),"Código não está no Catálogo"))</f>
        <v/>
      </c>
      <c r="F293" s="17">
        <f>IF(D293="","",IFERROR(VLOOKUP(D293,Catálogo!$A:$D,4,FALSE),""))</f>
        <v/>
      </c>
      <c r="G293" s="17" t="n"/>
      <c r="H293" s="17">
        <f>IF(D293="",0,IF(COUNTIFS($A$2:A293,A293,$D$2:D293,D293)=1,1,0))</f>
        <v/>
      </c>
      <c r="I293" s="17" t="n"/>
      <c r="J293" s="17" t="n"/>
      <c r="K293" s="18" t="n"/>
      <c r="L293" s="17" t="n"/>
      <c r="M293">
        <f>IF(AND(B293&lt;&gt;"",B293='Por empresa'!$B$2),COUNTIF($B$2:B293,'Por empresa'!$B$2),"")</f>
        <v/>
      </c>
    </row>
    <row r="294">
      <c r="A294" s="17" t="n"/>
      <c r="B294" s="17">
        <f>IF(A294="","",IFERROR(VLOOKUP(A294,Notificações!$A:$B,2,FALSE),"ID não encontrado"))</f>
        <v/>
      </c>
      <c r="C294" s="17" t="n"/>
      <c r="D294" s="17" t="n"/>
      <c r="E294" s="17">
        <f>IF(D294="","",IFERROR(VLOOKUP(D294,Catálogo!$A:$D,2,FALSE),"Código não está no Catálogo"))</f>
        <v/>
      </c>
      <c r="F294" s="17">
        <f>IF(D294="","",IFERROR(VLOOKUP(D294,Catálogo!$A:$D,4,FALSE),""))</f>
        <v/>
      </c>
      <c r="G294" s="17" t="n"/>
      <c r="H294" s="17">
        <f>IF(D294="",0,IF(COUNTIFS($A$2:A294,A294,$D$2:D294,D294)=1,1,0))</f>
        <v/>
      </c>
      <c r="I294" s="17" t="n"/>
      <c r="J294" s="17" t="n"/>
      <c r="K294" s="18" t="n"/>
      <c r="L294" s="17" t="n"/>
      <c r="M294">
        <f>IF(AND(B294&lt;&gt;"",B294='Por empresa'!$B$2),COUNTIF($B$2:B294,'Por empresa'!$B$2),"")</f>
        <v/>
      </c>
    </row>
    <row r="295">
      <c r="A295" s="17" t="n"/>
      <c r="B295" s="17">
        <f>IF(A295="","",IFERROR(VLOOKUP(A295,Notificações!$A:$B,2,FALSE),"ID não encontrado"))</f>
        <v/>
      </c>
      <c r="C295" s="17" t="n"/>
      <c r="D295" s="17" t="n"/>
      <c r="E295" s="17">
        <f>IF(D295="","",IFERROR(VLOOKUP(D295,Catálogo!$A:$D,2,FALSE),"Código não está no Catálogo"))</f>
        <v/>
      </c>
      <c r="F295" s="17">
        <f>IF(D295="","",IFERROR(VLOOKUP(D295,Catálogo!$A:$D,4,FALSE),""))</f>
        <v/>
      </c>
      <c r="G295" s="17" t="n"/>
      <c r="H295" s="17">
        <f>IF(D295="",0,IF(COUNTIFS($A$2:A295,A295,$D$2:D295,D295)=1,1,0))</f>
        <v/>
      </c>
      <c r="I295" s="17" t="n"/>
      <c r="J295" s="17" t="n"/>
      <c r="K295" s="18" t="n"/>
      <c r="L295" s="17" t="n"/>
      <c r="M295">
        <f>IF(AND(B295&lt;&gt;"",B295='Por empresa'!$B$2),COUNTIF($B$2:B295,'Por empresa'!$B$2),"")</f>
        <v/>
      </c>
    </row>
    <row r="296">
      <c r="A296" s="17" t="n"/>
      <c r="B296" s="17">
        <f>IF(A296="","",IFERROR(VLOOKUP(A296,Notificações!$A:$B,2,FALSE),"ID não encontrado"))</f>
        <v/>
      </c>
      <c r="C296" s="17" t="n"/>
      <c r="D296" s="17" t="n"/>
      <c r="E296" s="17">
        <f>IF(D296="","",IFERROR(VLOOKUP(D296,Catálogo!$A:$D,2,FALSE),"Código não está no Catálogo"))</f>
        <v/>
      </c>
      <c r="F296" s="17">
        <f>IF(D296="","",IFERROR(VLOOKUP(D296,Catálogo!$A:$D,4,FALSE),""))</f>
        <v/>
      </c>
      <c r="G296" s="17" t="n"/>
      <c r="H296" s="17">
        <f>IF(D296="",0,IF(COUNTIFS($A$2:A296,A296,$D$2:D296,D296)=1,1,0))</f>
        <v/>
      </c>
      <c r="I296" s="17" t="n"/>
      <c r="J296" s="17" t="n"/>
      <c r="K296" s="18" t="n"/>
      <c r="L296" s="17" t="n"/>
      <c r="M296">
        <f>IF(AND(B296&lt;&gt;"",B296='Por empresa'!$B$2),COUNTIF($B$2:B296,'Por empresa'!$B$2),"")</f>
        <v/>
      </c>
    </row>
    <row r="297">
      <c r="A297" s="17" t="n"/>
      <c r="B297" s="17">
        <f>IF(A297="","",IFERROR(VLOOKUP(A297,Notificações!$A:$B,2,FALSE),"ID não encontrado"))</f>
        <v/>
      </c>
      <c r="C297" s="17" t="n"/>
      <c r="D297" s="17" t="n"/>
      <c r="E297" s="17">
        <f>IF(D297="","",IFERROR(VLOOKUP(D297,Catálogo!$A:$D,2,FALSE),"Código não está no Catálogo"))</f>
        <v/>
      </c>
      <c r="F297" s="17">
        <f>IF(D297="","",IFERROR(VLOOKUP(D297,Catálogo!$A:$D,4,FALSE),""))</f>
        <v/>
      </c>
      <c r="G297" s="17" t="n"/>
      <c r="H297" s="17">
        <f>IF(D297="",0,IF(COUNTIFS($A$2:A297,A297,$D$2:D297,D297)=1,1,0))</f>
        <v/>
      </c>
      <c r="I297" s="17" t="n"/>
      <c r="J297" s="17" t="n"/>
      <c r="K297" s="18" t="n"/>
      <c r="L297" s="17" t="n"/>
      <c r="M297">
        <f>IF(AND(B297&lt;&gt;"",B297='Por empresa'!$B$2),COUNTIF($B$2:B297,'Por empresa'!$B$2),"")</f>
        <v/>
      </c>
    </row>
    <row r="298">
      <c r="A298" s="17" t="n"/>
      <c r="B298" s="17">
        <f>IF(A298="","",IFERROR(VLOOKUP(A298,Notificações!$A:$B,2,FALSE),"ID não encontrado"))</f>
        <v/>
      </c>
      <c r="C298" s="17" t="n"/>
      <c r="D298" s="17" t="n"/>
      <c r="E298" s="17">
        <f>IF(D298="","",IFERROR(VLOOKUP(D298,Catálogo!$A:$D,2,FALSE),"Código não está no Catálogo"))</f>
        <v/>
      </c>
      <c r="F298" s="17">
        <f>IF(D298="","",IFERROR(VLOOKUP(D298,Catálogo!$A:$D,4,FALSE),""))</f>
        <v/>
      </c>
      <c r="G298" s="17" t="n"/>
      <c r="H298" s="17">
        <f>IF(D298="",0,IF(COUNTIFS($A$2:A298,A298,$D$2:D298,D298)=1,1,0))</f>
        <v/>
      </c>
      <c r="I298" s="17" t="n"/>
      <c r="J298" s="17" t="n"/>
      <c r="K298" s="18" t="n"/>
      <c r="L298" s="17" t="n"/>
      <c r="M298">
        <f>IF(AND(B298&lt;&gt;"",B298='Por empresa'!$B$2),COUNTIF($B$2:B298,'Por empresa'!$B$2),"")</f>
        <v/>
      </c>
    </row>
    <row r="299">
      <c r="A299" s="17" t="n"/>
      <c r="B299" s="17">
        <f>IF(A299="","",IFERROR(VLOOKUP(A299,Notificações!$A:$B,2,FALSE),"ID não encontrado"))</f>
        <v/>
      </c>
      <c r="C299" s="17" t="n"/>
      <c r="D299" s="17" t="n"/>
      <c r="E299" s="17">
        <f>IF(D299="","",IFERROR(VLOOKUP(D299,Catálogo!$A:$D,2,FALSE),"Código não está no Catálogo"))</f>
        <v/>
      </c>
      <c r="F299" s="17">
        <f>IF(D299="","",IFERROR(VLOOKUP(D299,Catálogo!$A:$D,4,FALSE),""))</f>
        <v/>
      </c>
      <c r="G299" s="17" t="n"/>
      <c r="H299" s="17">
        <f>IF(D299="",0,IF(COUNTIFS($A$2:A299,A299,$D$2:D299,D299)=1,1,0))</f>
        <v/>
      </c>
      <c r="I299" s="17" t="n"/>
      <c r="J299" s="17" t="n"/>
      <c r="K299" s="18" t="n"/>
      <c r="L299" s="17" t="n"/>
      <c r="M299">
        <f>IF(AND(B299&lt;&gt;"",B299='Por empresa'!$B$2),COUNTIF($B$2:B299,'Por empresa'!$B$2),"")</f>
        <v/>
      </c>
    </row>
    <row r="300">
      <c r="A300" s="17" t="n"/>
      <c r="B300" s="17">
        <f>IF(A300="","",IFERROR(VLOOKUP(A300,Notificações!$A:$B,2,FALSE),"ID não encontrado"))</f>
        <v/>
      </c>
      <c r="C300" s="17" t="n"/>
      <c r="D300" s="17" t="n"/>
      <c r="E300" s="17">
        <f>IF(D300="","",IFERROR(VLOOKUP(D300,Catálogo!$A:$D,2,FALSE),"Código não está no Catálogo"))</f>
        <v/>
      </c>
      <c r="F300" s="17">
        <f>IF(D300="","",IFERROR(VLOOKUP(D300,Catálogo!$A:$D,4,FALSE),""))</f>
        <v/>
      </c>
      <c r="G300" s="17" t="n"/>
      <c r="H300" s="17">
        <f>IF(D300="",0,IF(COUNTIFS($A$2:A300,A300,$D$2:D300,D300)=1,1,0))</f>
        <v/>
      </c>
      <c r="I300" s="17" t="n"/>
      <c r="J300" s="17" t="n"/>
      <c r="K300" s="18" t="n"/>
      <c r="L300" s="17" t="n"/>
      <c r="M300">
        <f>IF(AND(B300&lt;&gt;"",B300='Por empresa'!$B$2),COUNTIF($B$2:B300,'Por empresa'!$B$2),"")</f>
        <v/>
      </c>
    </row>
    <row r="301">
      <c r="A301" s="17" t="n"/>
      <c r="B301" s="17">
        <f>IF(A301="","",IFERROR(VLOOKUP(A301,Notificações!$A:$B,2,FALSE),"ID não encontrado"))</f>
        <v/>
      </c>
      <c r="C301" s="17" t="n"/>
      <c r="D301" s="17" t="n"/>
      <c r="E301" s="17">
        <f>IF(D301="","",IFERROR(VLOOKUP(D301,Catálogo!$A:$D,2,FALSE),"Código não está no Catálogo"))</f>
        <v/>
      </c>
      <c r="F301" s="17">
        <f>IF(D301="","",IFERROR(VLOOKUP(D301,Catálogo!$A:$D,4,FALSE),""))</f>
        <v/>
      </c>
      <c r="G301" s="17" t="n"/>
      <c r="H301" s="17">
        <f>IF(D301="",0,IF(COUNTIFS($A$2:A301,A301,$D$2:D301,D301)=1,1,0))</f>
        <v/>
      </c>
      <c r="I301" s="17" t="n"/>
      <c r="J301" s="17" t="n"/>
      <c r="K301" s="18" t="n"/>
      <c r="L301" s="17" t="n"/>
      <c r="M301">
        <f>IF(AND(B301&lt;&gt;"",B301='Por empresa'!$B$2),COUNTIF($B$2:B301,'Por empresa'!$B$2),"")</f>
        <v/>
      </c>
    </row>
    <row r="302">
      <c r="A302" s="17" t="n"/>
      <c r="B302" s="17">
        <f>IF(A302="","",IFERROR(VLOOKUP(A302,Notificações!$A:$B,2,FALSE),"ID não encontrado"))</f>
        <v/>
      </c>
      <c r="C302" s="17" t="n"/>
      <c r="D302" s="17" t="n"/>
      <c r="E302" s="17">
        <f>IF(D302="","",IFERROR(VLOOKUP(D302,Catálogo!$A:$D,2,FALSE),"Código não está no Catálogo"))</f>
        <v/>
      </c>
      <c r="F302" s="17">
        <f>IF(D302="","",IFERROR(VLOOKUP(D302,Catálogo!$A:$D,4,FALSE),""))</f>
        <v/>
      </c>
      <c r="G302" s="17" t="n"/>
      <c r="H302" s="17">
        <f>IF(D302="",0,IF(COUNTIFS($A$2:A302,A302,$D$2:D302,D302)=1,1,0))</f>
        <v/>
      </c>
      <c r="I302" s="17" t="n"/>
      <c r="J302" s="17" t="n"/>
      <c r="K302" s="18" t="n"/>
      <c r="L302" s="17" t="n"/>
      <c r="M302">
        <f>IF(AND(B302&lt;&gt;"",B302='Por empresa'!$B$2),COUNTIF($B$2:B302,'Por empresa'!$B$2),"")</f>
        <v/>
      </c>
    </row>
    <row r="303">
      <c r="A303" s="17" t="n"/>
      <c r="B303" s="17">
        <f>IF(A303="","",IFERROR(VLOOKUP(A303,Notificações!$A:$B,2,FALSE),"ID não encontrado"))</f>
        <v/>
      </c>
      <c r="C303" s="17" t="n"/>
      <c r="D303" s="17" t="n"/>
      <c r="E303" s="17">
        <f>IF(D303="","",IFERROR(VLOOKUP(D303,Catálogo!$A:$D,2,FALSE),"Código não está no Catálogo"))</f>
        <v/>
      </c>
      <c r="F303" s="17">
        <f>IF(D303="","",IFERROR(VLOOKUP(D303,Catálogo!$A:$D,4,FALSE),""))</f>
        <v/>
      </c>
      <c r="G303" s="17" t="n"/>
      <c r="H303" s="17">
        <f>IF(D303="",0,IF(COUNTIFS($A$2:A303,A303,$D$2:D303,D303)=1,1,0))</f>
        <v/>
      </c>
      <c r="I303" s="17" t="n"/>
      <c r="J303" s="17" t="n"/>
      <c r="K303" s="18" t="n"/>
      <c r="L303" s="17" t="n"/>
      <c r="M303">
        <f>IF(AND(B303&lt;&gt;"",B303='Por empresa'!$B$2),COUNTIF($B$2:B303,'Por empresa'!$B$2),"")</f>
        <v/>
      </c>
    </row>
    <row r="304">
      <c r="A304" s="17" t="n"/>
      <c r="B304" s="17">
        <f>IF(A304="","",IFERROR(VLOOKUP(A304,Notificações!$A:$B,2,FALSE),"ID não encontrado"))</f>
        <v/>
      </c>
      <c r="C304" s="17" t="n"/>
      <c r="D304" s="17" t="n"/>
      <c r="E304" s="17">
        <f>IF(D304="","",IFERROR(VLOOKUP(D304,Catálogo!$A:$D,2,FALSE),"Código não está no Catálogo"))</f>
        <v/>
      </c>
      <c r="F304" s="17">
        <f>IF(D304="","",IFERROR(VLOOKUP(D304,Catálogo!$A:$D,4,FALSE),""))</f>
        <v/>
      </c>
      <c r="G304" s="17" t="n"/>
      <c r="H304" s="17">
        <f>IF(D304="",0,IF(COUNTIFS($A$2:A304,A304,$D$2:D304,D304)=1,1,0))</f>
        <v/>
      </c>
      <c r="I304" s="17" t="n"/>
      <c r="J304" s="17" t="n"/>
      <c r="K304" s="18" t="n"/>
      <c r="L304" s="17" t="n"/>
      <c r="M304">
        <f>IF(AND(B304&lt;&gt;"",B304='Por empresa'!$B$2),COUNTIF($B$2:B304,'Por empresa'!$B$2),"")</f>
        <v/>
      </c>
    </row>
    <row r="305">
      <c r="A305" s="17" t="n"/>
      <c r="B305" s="17">
        <f>IF(A305="","",IFERROR(VLOOKUP(A305,Notificações!$A:$B,2,FALSE),"ID não encontrado"))</f>
        <v/>
      </c>
      <c r="C305" s="17" t="n"/>
      <c r="D305" s="17" t="n"/>
      <c r="E305" s="17">
        <f>IF(D305="","",IFERROR(VLOOKUP(D305,Catálogo!$A:$D,2,FALSE),"Código não está no Catálogo"))</f>
        <v/>
      </c>
      <c r="F305" s="17">
        <f>IF(D305="","",IFERROR(VLOOKUP(D305,Catálogo!$A:$D,4,FALSE),""))</f>
        <v/>
      </c>
      <c r="G305" s="17" t="n"/>
      <c r="H305" s="17">
        <f>IF(D305="",0,IF(COUNTIFS($A$2:A305,A305,$D$2:D305,D305)=1,1,0))</f>
        <v/>
      </c>
      <c r="I305" s="17" t="n"/>
      <c r="J305" s="17" t="n"/>
      <c r="K305" s="18" t="n"/>
      <c r="L305" s="17" t="n"/>
      <c r="M305">
        <f>IF(AND(B305&lt;&gt;"",B305='Por empresa'!$B$2),COUNTIF($B$2:B305,'Por empresa'!$B$2),"")</f>
        <v/>
      </c>
    </row>
    <row r="306">
      <c r="A306" s="17" t="n"/>
      <c r="B306" s="17">
        <f>IF(A306="","",IFERROR(VLOOKUP(A306,Notificações!$A:$B,2,FALSE),"ID não encontrado"))</f>
        <v/>
      </c>
      <c r="C306" s="17" t="n"/>
      <c r="D306" s="17" t="n"/>
      <c r="E306" s="17">
        <f>IF(D306="","",IFERROR(VLOOKUP(D306,Catálogo!$A:$D,2,FALSE),"Código não está no Catálogo"))</f>
        <v/>
      </c>
      <c r="F306" s="17">
        <f>IF(D306="","",IFERROR(VLOOKUP(D306,Catálogo!$A:$D,4,FALSE),""))</f>
        <v/>
      </c>
      <c r="G306" s="17" t="n"/>
      <c r="H306" s="17">
        <f>IF(D306="",0,IF(COUNTIFS($A$2:A306,A306,$D$2:D306,D306)=1,1,0))</f>
        <v/>
      </c>
      <c r="I306" s="17" t="n"/>
      <c r="J306" s="17" t="n"/>
      <c r="K306" s="18" t="n"/>
      <c r="L306" s="17" t="n"/>
      <c r="M306">
        <f>IF(AND(B306&lt;&gt;"",B306='Por empresa'!$B$2),COUNTIF($B$2:B306,'Por empresa'!$B$2),"")</f>
        <v/>
      </c>
    </row>
    <row r="307">
      <c r="A307" s="17" t="n"/>
      <c r="B307" s="17">
        <f>IF(A307="","",IFERROR(VLOOKUP(A307,Notificações!$A:$B,2,FALSE),"ID não encontrado"))</f>
        <v/>
      </c>
      <c r="C307" s="17" t="n"/>
      <c r="D307" s="17" t="n"/>
      <c r="E307" s="17">
        <f>IF(D307="","",IFERROR(VLOOKUP(D307,Catálogo!$A:$D,2,FALSE),"Código não está no Catálogo"))</f>
        <v/>
      </c>
      <c r="F307" s="17">
        <f>IF(D307="","",IFERROR(VLOOKUP(D307,Catálogo!$A:$D,4,FALSE),""))</f>
        <v/>
      </c>
      <c r="G307" s="17" t="n"/>
      <c r="H307" s="17">
        <f>IF(D307="",0,IF(COUNTIFS($A$2:A307,A307,$D$2:D307,D307)=1,1,0))</f>
        <v/>
      </c>
      <c r="I307" s="17" t="n"/>
      <c r="J307" s="17" t="n"/>
      <c r="K307" s="18" t="n"/>
      <c r="L307" s="17" t="n"/>
      <c r="M307">
        <f>IF(AND(B307&lt;&gt;"",B307='Por empresa'!$B$2),COUNTIF($B$2:B307,'Por empresa'!$B$2),"")</f>
        <v/>
      </c>
    </row>
    <row r="308">
      <c r="A308" s="17" t="n"/>
      <c r="B308" s="17">
        <f>IF(A308="","",IFERROR(VLOOKUP(A308,Notificações!$A:$B,2,FALSE),"ID não encontrado"))</f>
        <v/>
      </c>
      <c r="C308" s="17" t="n"/>
      <c r="D308" s="17" t="n"/>
      <c r="E308" s="17">
        <f>IF(D308="","",IFERROR(VLOOKUP(D308,Catálogo!$A:$D,2,FALSE),"Código não está no Catálogo"))</f>
        <v/>
      </c>
      <c r="F308" s="17">
        <f>IF(D308="","",IFERROR(VLOOKUP(D308,Catálogo!$A:$D,4,FALSE),""))</f>
        <v/>
      </c>
      <c r="G308" s="17" t="n"/>
      <c r="H308" s="17">
        <f>IF(D308="",0,IF(COUNTIFS($A$2:A308,A308,$D$2:D308,D308)=1,1,0))</f>
        <v/>
      </c>
      <c r="I308" s="17" t="n"/>
      <c r="J308" s="17" t="n"/>
      <c r="K308" s="18" t="n"/>
      <c r="L308" s="17" t="n"/>
      <c r="M308">
        <f>IF(AND(B308&lt;&gt;"",B308='Por empresa'!$B$2),COUNTIF($B$2:B308,'Por empresa'!$B$2),"")</f>
        <v/>
      </c>
    </row>
    <row r="309">
      <c r="A309" s="17" t="n"/>
      <c r="B309" s="17">
        <f>IF(A309="","",IFERROR(VLOOKUP(A309,Notificações!$A:$B,2,FALSE),"ID não encontrado"))</f>
        <v/>
      </c>
      <c r="C309" s="17" t="n"/>
      <c r="D309" s="17" t="n"/>
      <c r="E309" s="17">
        <f>IF(D309="","",IFERROR(VLOOKUP(D309,Catálogo!$A:$D,2,FALSE),"Código não está no Catálogo"))</f>
        <v/>
      </c>
      <c r="F309" s="17">
        <f>IF(D309="","",IFERROR(VLOOKUP(D309,Catálogo!$A:$D,4,FALSE),""))</f>
        <v/>
      </c>
      <c r="G309" s="17" t="n"/>
      <c r="H309" s="17">
        <f>IF(D309="",0,IF(COUNTIFS($A$2:A309,A309,$D$2:D309,D309)=1,1,0))</f>
        <v/>
      </c>
      <c r="I309" s="17" t="n"/>
      <c r="J309" s="17" t="n"/>
      <c r="K309" s="18" t="n"/>
      <c r="L309" s="17" t="n"/>
      <c r="M309">
        <f>IF(AND(B309&lt;&gt;"",B309='Por empresa'!$B$2),COUNTIF($B$2:B309,'Por empresa'!$B$2),"")</f>
        <v/>
      </c>
    </row>
    <row r="310">
      <c r="A310" s="17" t="n"/>
      <c r="B310" s="17">
        <f>IF(A310="","",IFERROR(VLOOKUP(A310,Notificações!$A:$B,2,FALSE),"ID não encontrado"))</f>
        <v/>
      </c>
      <c r="C310" s="17" t="n"/>
      <c r="D310" s="17" t="n"/>
      <c r="E310" s="17">
        <f>IF(D310="","",IFERROR(VLOOKUP(D310,Catálogo!$A:$D,2,FALSE),"Código não está no Catálogo"))</f>
        <v/>
      </c>
      <c r="F310" s="17">
        <f>IF(D310="","",IFERROR(VLOOKUP(D310,Catálogo!$A:$D,4,FALSE),""))</f>
        <v/>
      </c>
      <c r="G310" s="17" t="n"/>
      <c r="H310" s="17">
        <f>IF(D310="",0,IF(COUNTIFS($A$2:A310,A310,$D$2:D310,D310)=1,1,0))</f>
        <v/>
      </c>
      <c r="I310" s="17" t="n"/>
      <c r="J310" s="17" t="n"/>
      <c r="K310" s="18" t="n"/>
      <c r="L310" s="17" t="n"/>
      <c r="M310">
        <f>IF(AND(B310&lt;&gt;"",B310='Por empresa'!$B$2),COUNTIF($B$2:B310,'Por empresa'!$B$2),"")</f>
        <v/>
      </c>
    </row>
    <row r="311">
      <c r="A311" s="17" t="n"/>
      <c r="B311" s="17">
        <f>IF(A311="","",IFERROR(VLOOKUP(A311,Notificações!$A:$B,2,FALSE),"ID não encontrado"))</f>
        <v/>
      </c>
      <c r="C311" s="17" t="n"/>
      <c r="D311" s="17" t="n"/>
      <c r="E311" s="17">
        <f>IF(D311="","",IFERROR(VLOOKUP(D311,Catálogo!$A:$D,2,FALSE),"Código não está no Catálogo"))</f>
        <v/>
      </c>
      <c r="F311" s="17">
        <f>IF(D311="","",IFERROR(VLOOKUP(D311,Catálogo!$A:$D,4,FALSE),""))</f>
        <v/>
      </c>
      <c r="G311" s="17" t="n"/>
      <c r="H311" s="17">
        <f>IF(D311="",0,IF(COUNTIFS($A$2:A311,A311,$D$2:D311,D311)=1,1,0))</f>
        <v/>
      </c>
      <c r="I311" s="17" t="n"/>
      <c r="J311" s="17" t="n"/>
      <c r="K311" s="18" t="n"/>
      <c r="L311" s="17" t="n"/>
      <c r="M311">
        <f>IF(AND(B311&lt;&gt;"",B311='Por empresa'!$B$2),COUNTIF($B$2:B311,'Por empresa'!$B$2),"")</f>
        <v/>
      </c>
    </row>
    <row r="312">
      <c r="A312" s="17" t="n"/>
      <c r="B312" s="17">
        <f>IF(A312="","",IFERROR(VLOOKUP(A312,Notificações!$A:$B,2,FALSE),"ID não encontrado"))</f>
        <v/>
      </c>
      <c r="C312" s="17" t="n"/>
      <c r="D312" s="17" t="n"/>
      <c r="E312" s="17">
        <f>IF(D312="","",IFERROR(VLOOKUP(D312,Catálogo!$A:$D,2,FALSE),"Código não está no Catálogo"))</f>
        <v/>
      </c>
      <c r="F312" s="17">
        <f>IF(D312="","",IFERROR(VLOOKUP(D312,Catálogo!$A:$D,4,FALSE),""))</f>
        <v/>
      </c>
      <c r="G312" s="17" t="n"/>
      <c r="H312" s="17">
        <f>IF(D312="",0,IF(COUNTIFS($A$2:A312,A312,$D$2:D312,D312)=1,1,0))</f>
        <v/>
      </c>
      <c r="I312" s="17" t="n"/>
      <c r="J312" s="17" t="n"/>
      <c r="K312" s="18" t="n"/>
      <c r="L312" s="17" t="n"/>
      <c r="M312">
        <f>IF(AND(B312&lt;&gt;"",B312='Por empresa'!$B$2),COUNTIF($B$2:B312,'Por empresa'!$B$2),"")</f>
        <v/>
      </c>
    </row>
    <row r="313">
      <c r="A313" s="17" t="n"/>
      <c r="B313" s="17">
        <f>IF(A313="","",IFERROR(VLOOKUP(A313,Notificações!$A:$B,2,FALSE),"ID não encontrado"))</f>
        <v/>
      </c>
      <c r="C313" s="17" t="n"/>
      <c r="D313" s="17" t="n"/>
      <c r="E313" s="17">
        <f>IF(D313="","",IFERROR(VLOOKUP(D313,Catálogo!$A:$D,2,FALSE),"Código não está no Catálogo"))</f>
        <v/>
      </c>
      <c r="F313" s="17">
        <f>IF(D313="","",IFERROR(VLOOKUP(D313,Catálogo!$A:$D,4,FALSE),""))</f>
        <v/>
      </c>
      <c r="G313" s="17" t="n"/>
      <c r="H313" s="17">
        <f>IF(D313="",0,IF(COUNTIFS($A$2:A313,A313,$D$2:D313,D313)=1,1,0))</f>
        <v/>
      </c>
      <c r="I313" s="17" t="n"/>
      <c r="J313" s="17" t="n"/>
      <c r="K313" s="18" t="n"/>
      <c r="L313" s="17" t="n"/>
      <c r="M313">
        <f>IF(AND(B313&lt;&gt;"",B313='Por empresa'!$B$2),COUNTIF($B$2:B313,'Por empresa'!$B$2),"")</f>
        <v/>
      </c>
    </row>
    <row r="314">
      <c r="A314" s="17" t="n"/>
      <c r="B314" s="17">
        <f>IF(A314="","",IFERROR(VLOOKUP(A314,Notificações!$A:$B,2,FALSE),"ID não encontrado"))</f>
        <v/>
      </c>
      <c r="C314" s="17" t="n"/>
      <c r="D314" s="17" t="n"/>
      <c r="E314" s="17">
        <f>IF(D314="","",IFERROR(VLOOKUP(D314,Catálogo!$A:$D,2,FALSE),"Código não está no Catálogo"))</f>
        <v/>
      </c>
      <c r="F314" s="17">
        <f>IF(D314="","",IFERROR(VLOOKUP(D314,Catálogo!$A:$D,4,FALSE),""))</f>
        <v/>
      </c>
      <c r="G314" s="17" t="n"/>
      <c r="H314" s="17">
        <f>IF(D314="",0,IF(COUNTIFS($A$2:A314,A314,$D$2:D314,D314)=1,1,0))</f>
        <v/>
      </c>
      <c r="I314" s="17" t="n"/>
      <c r="J314" s="17" t="n"/>
      <c r="K314" s="18" t="n"/>
      <c r="L314" s="17" t="n"/>
      <c r="M314">
        <f>IF(AND(B314&lt;&gt;"",B314='Por empresa'!$B$2),COUNTIF($B$2:B314,'Por empresa'!$B$2),"")</f>
        <v/>
      </c>
    </row>
    <row r="315">
      <c r="A315" s="17" t="n"/>
      <c r="B315" s="17">
        <f>IF(A315="","",IFERROR(VLOOKUP(A315,Notificações!$A:$B,2,FALSE),"ID não encontrado"))</f>
        <v/>
      </c>
      <c r="C315" s="17" t="n"/>
      <c r="D315" s="17" t="n"/>
      <c r="E315" s="17">
        <f>IF(D315="","",IFERROR(VLOOKUP(D315,Catálogo!$A:$D,2,FALSE),"Código não está no Catálogo"))</f>
        <v/>
      </c>
      <c r="F315" s="17">
        <f>IF(D315="","",IFERROR(VLOOKUP(D315,Catálogo!$A:$D,4,FALSE),""))</f>
        <v/>
      </c>
      <c r="G315" s="17" t="n"/>
      <c r="H315" s="17">
        <f>IF(D315="",0,IF(COUNTIFS($A$2:A315,A315,$D$2:D315,D315)=1,1,0))</f>
        <v/>
      </c>
      <c r="I315" s="17" t="n"/>
      <c r="J315" s="17" t="n"/>
      <c r="K315" s="18" t="n"/>
      <c r="L315" s="17" t="n"/>
      <c r="M315">
        <f>IF(AND(B315&lt;&gt;"",B315='Por empresa'!$B$2),COUNTIF($B$2:B315,'Por empresa'!$B$2),"")</f>
        <v/>
      </c>
    </row>
    <row r="316">
      <c r="A316" s="17" t="n"/>
      <c r="B316" s="17">
        <f>IF(A316="","",IFERROR(VLOOKUP(A316,Notificações!$A:$B,2,FALSE),"ID não encontrado"))</f>
        <v/>
      </c>
      <c r="C316" s="17" t="n"/>
      <c r="D316" s="17" t="n"/>
      <c r="E316" s="17">
        <f>IF(D316="","",IFERROR(VLOOKUP(D316,Catálogo!$A:$D,2,FALSE),"Código não está no Catálogo"))</f>
        <v/>
      </c>
      <c r="F316" s="17">
        <f>IF(D316="","",IFERROR(VLOOKUP(D316,Catálogo!$A:$D,4,FALSE),""))</f>
        <v/>
      </c>
      <c r="G316" s="17" t="n"/>
      <c r="H316" s="17">
        <f>IF(D316="",0,IF(COUNTIFS($A$2:A316,A316,$D$2:D316,D316)=1,1,0))</f>
        <v/>
      </c>
      <c r="I316" s="17" t="n"/>
      <c r="J316" s="17" t="n"/>
      <c r="K316" s="18" t="n"/>
      <c r="L316" s="17" t="n"/>
      <c r="M316">
        <f>IF(AND(B316&lt;&gt;"",B316='Por empresa'!$B$2),COUNTIF($B$2:B316,'Por empresa'!$B$2),"")</f>
        <v/>
      </c>
    </row>
    <row r="317">
      <c r="A317" s="17" t="n"/>
      <c r="B317" s="17">
        <f>IF(A317="","",IFERROR(VLOOKUP(A317,Notificações!$A:$B,2,FALSE),"ID não encontrado"))</f>
        <v/>
      </c>
      <c r="C317" s="17" t="n"/>
      <c r="D317" s="17" t="n"/>
      <c r="E317" s="17">
        <f>IF(D317="","",IFERROR(VLOOKUP(D317,Catálogo!$A:$D,2,FALSE),"Código não está no Catálogo"))</f>
        <v/>
      </c>
      <c r="F317" s="17">
        <f>IF(D317="","",IFERROR(VLOOKUP(D317,Catálogo!$A:$D,4,FALSE),""))</f>
        <v/>
      </c>
      <c r="G317" s="17" t="n"/>
      <c r="H317" s="17">
        <f>IF(D317="",0,IF(COUNTIFS($A$2:A317,A317,$D$2:D317,D317)=1,1,0))</f>
        <v/>
      </c>
      <c r="I317" s="17" t="n"/>
      <c r="J317" s="17" t="n"/>
      <c r="K317" s="18" t="n"/>
      <c r="L317" s="17" t="n"/>
      <c r="M317">
        <f>IF(AND(B317&lt;&gt;"",B317='Por empresa'!$B$2),COUNTIF($B$2:B317,'Por empresa'!$B$2),"")</f>
        <v/>
      </c>
    </row>
    <row r="318">
      <c r="A318" s="17" t="n"/>
      <c r="B318" s="17">
        <f>IF(A318="","",IFERROR(VLOOKUP(A318,Notificações!$A:$B,2,FALSE),"ID não encontrado"))</f>
        <v/>
      </c>
      <c r="C318" s="17" t="n"/>
      <c r="D318" s="17" t="n"/>
      <c r="E318" s="17">
        <f>IF(D318="","",IFERROR(VLOOKUP(D318,Catálogo!$A:$D,2,FALSE),"Código não está no Catálogo"))</f>
        <v/>
      </c>
      <c r="F318" s="17">
        <f>IF(D318="","",IFERROR(VLOOKUP(D318,Catálogo!$A:$D,4,FALSE),""))</f>
        <v/>
      </c>
      <c r="G318" s="17" t="n"/>
      <c r="H318" s="17">
        <f>IF(D318="",0,IF(COUNTIFS($A$2:A318,A318,$D$2:D318,D318)=1,1,0))</f>
        <v/>
      </c>
      <c r="I318" s="17" t="n"/>
      <c r="J318" s="17" t="n"/>
      <c r="K318" s="18" t="n"/>
      <c r="L318" s="17" t="n"/>
      <c r="M318">
        <f>IF(AND(B318&lt;&gt;"",B318='Por empresa'!$B$2),COUNTIF($B$2:B318,'Por empresa'!$B$2),"")</f>
        <v/>
      </c>
    </row>
    <row r="319">
      <c r="A319" s="17" t="n"/>
      <c r="B319" s="17">
        <f>IF(A319="","",IFERROR(VLOOKUP(A319,Notificações!$A:$B,2,FALSE),"ID não encontrado"))</f>
        <v/>
      </c>
      <c r="C319" s="17" t="n"/>
      <c r="D319" s="17" t="n"/>
      <c r="E319" s="17">
        <f>IF(D319="","",IFERROR(VLOOKUP(D319,Catálogo!$A:$D,2,FALSE),"Código não está no Catálogo"))</f>
        <v/>
      </c>
      <c r="F319" s="17">
        <f>IF(D319="","",IFERROR(VLOOKUP(D319,Catálogo!$A:$D,4,FALSE),""))</f>
        <v/>
      </c>
      <c r="G319" s="17" t="n"/>
      <c r="H319" s="17">
        <f>IF(D319="",0,IF(COUNTIFS($A$2:A319,A319,$D$2:D319,D319)=1,1,0))</f>
        <v/>
      </c>
      <c r="I319" s="17" t="n"/>
      <c r="J319" s="17" t="n"/>
      <c r="K319" s="18" t="n"/>
      <c r="L319" s="17" t="n"/>
      <c r="M319">
        <f>IF(AND(B319&lt;&gt;"",B319='Por empresa'!$B$2),COUNTIF($B$2:B319,'Por empresa'!$B$2),"")</f>
        <v/>
      </c>
    </row>
    <row r="320">
      <c r="A320" s="17" t="n"/>
      <c r="B320" s="17">
        <f>IF(A320="","",IFERROR(VLOOKUP(A320,Notificações!$A:$B,2,FALSE),"ID não encontrado"))</f>
        <v/>
      </c>
      <c r="C320" s="17" t="n"/>
      <c r="D320" s="17" t="n"/>
      <c r="E320" s="17">
        <f>IF(D320="","",IFERROR(VLOOKUP(D320,Catálogo!$A:$D,2,FALSE),"Código não está no Catálogo"))</f>
        <v/>
      </c>
      <c r="F320" s="17">
        <f>IF(D320="","",IFERROR(VLOOKUP(D320,Catálogo!$A:$D,4,FALSE),""))</f>
        <v/>
      </c>
      <c r="G320" s="17" t="n"/>
      <c r="H320" s="17">
        <f>IF(D320="",0,IF(COUNTIFS($A$2:A320,A320,$D$2:D320,D320)=1,1,0))</f>
        <v/>
      </c>
      <c r="I320" s="17" t="n"/>
      <c r="J320" s="17" t="n"/>
      <c r="K320" s="18" t="n"/>
      <c r="L320" s="17" t="n"/>
      <c r="M320">
        <f>IF(AND(B320&lt;&gt;"",B320='Por empresa'!$B$2),COUNTIF($B$2:B320,'Por empresa'!$B$2),"")</f>
        <v/>
      </c>
    </row>
    <row r="321">
      <c r="A321" s="17" t="n"/>
      <c r="B321" s="17">
        <f>IF(A321="","",IFERROR(VLOOKUP(A321,Notificações!$A:$B,2,FALSE),"ID não encontrado"))</f>
        <v/>
      </c>
      <c r="C321" s="17" t="n"/>
      <c r="D321" s="17" t="n"/>
      <c r="E321" s="17">
        <f>IF(D321="","",IFERROR(VLOOKUP(D321,Catálogo!$A:$D,2,FALSE),"Código não está no Catálogo"))</f>
        <v/>
      </c>
      <c r="F321" s="17">
        <f>IF(D321="","",IFERROR(VLOOKUP(D321,Catálogo!$A:$D,4,FALSE),""))</f>
        <v/>
      </c>
      <c r="G321" s="17" t="n"/>
      <c r="H321" s="17">
        <f>IF(D321="",0,IF(COUNTIFS($A$2:A321,A321,$D$2:D321,D321)=1,1,0))</f>
        <v/>
      </c>
      <c r="I321" s="17" t="n"/>
      <c r="J321" s="17" t="n"/>
      <c r="K321" s="18" t="n"/>
      <c r="L321" s="17" t="n"/>
      <c r="M321">
        <f>IF(AND(B321&lt;&gt;"",B321='Por empresa'!$B$2),COUNTIF($B$2:B321,'Por empresa'!$B$2),"")</f>
        <v/>
      </c>
    </row>
    <row r="322">
      <c r="A322" s="17" t="n"/>
      <c r="B322" s="17">
        <f>IF(A322="","",IFERROR(VLOOKUP(A322,Notificações!$A:$B,2,FALSE),"ID não encontrado"))</f>
        <v/>
      </c>
      <c r="C322" s="17" t="n"/>
      <c r="D322" s="17" t="n"/>
      <c r="E322" s="17">
        <f>IF(D322="","",IFERROR(VLOOKUP(D322,Catálogo!$A:$D,2,FALSE),"Código não está no Catálogo"))</f>
        <v/>
      </c>
      <c r="F322" s="17">
        <f>IF(D322="","",IFERROR(VLOOKUP(D322,Catálogo!$A:$D,4,FALSE),""))</f>
        <v/>
      </c>
      <c r="G322" s="17" t="n"/>
      <c r="H322" s="17">
        <f>IF(D322="",0,IF(COUNTIFS($A$2:A322,A322,$D$2:D322,D322)=1,1,0))</f>
        <v/>
      </c>
      <c r="I322" s="17" t="n"/>
      <c r="J322" s="17" t="n"/>
      <c r="K322" s="18" t="n"/>
      <c r="L322" s="17" t="n"/>
      <c r="M322">
        <f>IF(AND(B322&lt;&gt;"",B322='Por empresa'!$B$2),COUNTIF($B$2:B322,'Por empresa'!$B$2),"")</f>
        <v/>
      </c>
    </row>
    <row r="323">
      <c r="A323" s="17" t="n"/>
      <c r="B323" s="17">
        <f>IF(A323="","",IFERROR(VLOOKUP(A323,Notificações!$A:$B,2,FALSE),"ID não encontrado"))</f>
        <v/>
      </c>
      <c r="C323" s="17" t="n"/>
      <c r="D323" s="17" t="n"/>
      <c r="E323" s="17">
        <f>IF(D323="","",IFERROR(VLOOKUP(D323,Catálogo!$A:$D,2,FALSE),"Código não está no Catálogo"))</f>
        <v/>
      </c>
      <c r="F323" s="17">
        <f>IF(D323="","",IFERROR(VLOOKUP(D323,Catálogo!$A:$D,4,FALSE),""))</f>
        <v/>
      </c>
      <c r="G323" s="17" t="n"/>
      <c r="H323" s="17">
        <f>IF(D323="",0,IF(COUNTIFS($A$2:A323,A323,$D$2:D323,D323)=1,1,0))</f>
        <v/>
      </c>
      <c r="I323" s="17" t="n"/>
      <c r="J323" s="17" t="n"/>
      <c r="K323" s="18" t="n"/>
      <c r="L323" s="17" t="n"/>
      <c r="M323">
        <f>IF(AND(B323&lt;&gt;"",B323='Por empresa'!$B$2),COUNTIF($B$2:B323,'Por empresa'!$B$2),"")</f>
        <v/>
      </c>
    </row>
    <row r="324">
      <c r="A324" s="17" t="n"/>
      <c r="B324" s="17">
        <f>IF(A324="","",IFERROR(VLOOKUP(A324,Notificações!$A:$B,2,FALSE),"ID não encontrado"))</f>
        <v/>
      </c>
      <c r="C324" s="17" t="n"/>
      <c r="D324" s="17" t="n"/>
      <c r="E324" s="17">
        <f>IF(D324="","",IFERROR(VLOOKUP(D324,Catálogo!$A:$D,2,FALSE),"Código não está no Catálogo"))</f>
        <v/>
      </c>
      <c r="F324" s="17">
        <f>IF(D324="","",IFERROR(VLOOKUP(D324,Catálogo!$A:$D,4,FALSE),""))</f>
        <v/>
      </c>
      <c r="G324" s="17" t="n"/>
      <c r="H324" s="17">
        <f>IF(D324="",0,IF(COUNTIFS($A$2:A324,A324,$D$2:D324,D324)=1,1,0))</f>
        <v/>
      </c>
      <c r="I324" s="17" t="n"/>
      <c r="J324" s="17" t="n"/>
      <c r="K324" s="18" t="n"/>
      <c r="L324" s="17" t="n"/>
      <c r="M324">
        <f>IF(AND(B324&lt;&gt;"",B324='Por empresa'!$B$2),COUNTIF($B$2:B324,'Por empresa'!$B$2),"")</f>
        <v/>
      </c>
    </row>
    <row r="325">
      <c r="A325" s="17" t="n"/>
      <c r="B325" s="17">
        <f>IF(A325="","",IFERROR(VLOOKUP(A325,Notificações!$A:$B,2,FALSE),"ID não encontrado"))</f>
        <v/>
      </c>
      <c r="C325" s="17" t="n"/>
      <c r="D325" s="17" t="n"/>
      <c r="E325" s="17">
        <f>IF(D325="","",IFERROR(VLOOKUP(D325,Catálogo!$A:$D,2,FALSE),"Código não está no Catálogo"))</f>
        <v/>
      </c>
      <c r="F325" s="17">
        <f>IF(D325="","",IFERROR(VLOOKUP(D325,Catálogo!$A:$D,4,FALSE),""))</f>
        <v/>
      </c>
      <c r="G325" s="17" t="n"/>
      <c r="H325" s="17">
        <f>IF(D325="",0,IF(COUNTIFS($A$2:A325,A325,$D$2:D325,D325)=1,1,0))</f>
        <v/>
      </c>
      <c r="I325" s="17" t="n"/>
      <c r="J325" s="17" t="n"/>
      <c r="K325" s="18" t="n"/>
      <c r="L325" s="17" t="n"/>
      <c r="M325">
        <f>IF(AND(B325&lt;&gt;"",B325='Por empresa'!$B$2),COUNTIF($B$2:B325,'Por empresa'!$B$2),"")</f>
        <v/>
      </c>
    </row>
    <row r="326">
      <c r="A326" s="17" t="n"/>
      <c r="B326" s="17">
        <f>IF(A326="","",IFERROR(VLOOKUP(A326,Notificações!$A:$B,2,FALSE),"ID não encontrado"))</f>
        <v/>
      </c>
      <c r="C326" s="17" t="n"/>
      <c r="D326" s="17" t="n"/>
      <c r="E326" s="17">
        <f>IF(D326="","",IFERROR(VLOOKUP(D326,Catálogo!$A:$D,2,FALSE),"Código não está no Catálogo"))</f>
        <v/>
      </c>
      <c r="F326" s="17">
        <f>IF(D326="","",IFERROR(VLOOKUP(D326,Catálogo!$A:$D,4,FALSE),""))</f>
        <v/>
      </c>
      <c r="G326" s="17" t="n"/>
      <c r="H326" s="17">
        <f>IF(D326="",0,IF(COUNTIFS($A$2:A326,A326,$D$2:D326,D326)=1,1,0))</f>
        <v/>
      </c>
      <c r="I326" s="17" t="n"/>
      <c r="J326" s="17" t="n"/>
      <c r="K326" s="18" t="n"/>
      <c r="L326" s="17" t="n"/>
      <c r="M326">
        <f>IF(AND(B326&lt;&gt;"",B326='Por empresa'!$B$2),COUNTIF($B$2:B326,'Por empresa'!$B$2),"")</f>
        <v/>
      </c>
    </row>
    <row r="327">
      <c r="A327" s="17" t="n"/>
      <c r="B327" s="17">
        <f>IF(A327="","",IFERROR(VLOOKUP(A327,Notificações!$A:$B,2,FALSE),"ID não encontrado"))</f>
        <v/>
      </c>
      <c r="C327" s="17" t="n"/>
      <c r="D327" s="17" t="n"/>
      <c r="E327" s="17">
        <f>IF(D327="","",IFERROR(VLOOKUP(D327,Catálogo!$A:$D,2,FALSE),"Código não está no Catálogo"))</f>
        <v/>
      </c>
      <c r="F327" s="17">
        <f>IF(D327="","",IFERROR(VLOOKUP(D327,Catálogo!$A:$D,4,FALSE),""))</f>
        <v/>
      </c>
      <c r="G327" s="17" t="n"/>
      <c r="H327" s="17">
        <f>IF(D327="",0,IF(COUNTIFS($A$2:A327,A327,$D$2:D327,D327)=1,1,0))</f>
        <v/>
      </c>
      <c r="I327" s="17" t="n"/>
      <c r="J327" s="17" t="n"/>
      <c r="K327" s="18" t="n"/>
      <c r="L327" s="17" t="n"/>
      <c r="M327">
        <f>IF(AND(B327&lt;&gt;"",B327='Por empresa'!$B$2),COUNTIF($B$2:B327,'Por empresa'!$B$2),"")</f>
        <v/>
      </c>
    </row>
    <row r="328">
      <c r="A328" s="17" t="n"/>
      <c r="B328" s="17">
        <f>IF(A328="","",IFERROR(VLOOKUP(A328,Notificações!$A:$B,2,FALSE),"ID não encontrado"))</f>
        <v/>
      </c>
      <c r="C328" s="17" t="n"/>
      <c r="D328" s="17" t="n"/>
      <c r="E328" s="17">
        <f>IF(D328="","",IFERROR(VLOOKUP(D328,Catálogo!$A:$D,2,FALSE),"Código não está no Catálogo"))</f>
        <v/>
      </c>
      <c r="F328" s="17">
        <f>IF(D328="","",IFERROR(VLOOKUP(D328,Catálogo!$A:$D,4,FALSE),""))</f>
        <v/>
      </c>
      <c r="G328" s="17" t="n"/>
      <c r="H328" s="17">
        <f>IF(D328="",0,IF(COUNTIFS($A$2:A328,A328,$D$2:D328,D328)=1,1,0))</f>
        <v/>
      </c>
      <c r="I328" s="17" t="n"/>
      <c r="J328" s="17" t="n"/>
      <c r="K328" s="18" t="n"/>
      <c r="L328" s="17" t="n"/>
      <c r="M328">
        <f>IF(AND(B328&lt;&gt;"",B328='Por empresa'!$B$2),COUNTIF($B$2:B328,'Por empresa'!$B$2),"")</f>
        <v/>
      </c>
    </row>
    <row r="329">
      <c r="A329" s="17" t="n"/>
      <c r="B329" s="17">
        <f>IF(A329="","",IFERROR(VLOOKUP(A329,Notificações!$A:$B,2,FALSE),"ID não encontrado"))</f>
        <v/>
      </c>
      <c r="C329" s="17" t="n"/>
      <c r="D329" s="17" t="n"/>
      <c r="E329" s="17">
        <f>IF(D329="","",IFERROR(VLOOKUP(D329,Catálogo!$A:$D,2,FALSE),"Código não está no Catálogo"))</f>
        <v/>
      </c>
      <c r="F329" s="17">
        <f>IF(D329="","",IFERROR(VLOOKUP(D329,Catálogo!$A:$D,4,FALSE),""))</f>
        <v/>
      </c>
      <c r="G329" s="17" t="n"/>
      <c r="H329" s="17">
        <f>IF(D329="",0,IF(COUNTIFS($A$2:A329,A329,$D$2:D329,D329)=1,1,0))</f>
        <v/>
      </c>
      <c r="I329" s="17" t="n"/>
      <c r="J329" s="17" t="n"/>
      <c r="K329" s="18" t="n"/>
      <c r="L329" s="17" t="n"/>
      <c r="M329">
        <f>IF(AND(B329&lt;&gt;"",B329='Por empresa'!$B$2),COUNTIF($B$2:B329,'Por empresa'!$B$2),"")</f>
        <v/>
      </c>
    </row>
    <row r="330">
      <c r="A330" s="17" t="n"/>
      <c r="B330" s="17">
        <f>IF(A330="","",IFERROR(VLOOKUP(A330,Notificações!$A:$B,2,FALSE),"ID não encontrado"))</f>
        <v/>
      </c>
      <c r="C330" s="17" t="n"/>
      <c r="D330" s="17" t="n"/>
      <c r="E330" s="17">
        <f>IF(D330="","",IFERROR(VLOOKUP(D330,Catálogo!$A:$D,2,FALSE),"Código não está no Catálogo"))</f>
        <v/>
      </c>
      <c r="F330" s="17">
        <f>IF(D330="","",IFERROR(VLOOKUP(D330,Catálogo!$A:$D,4,FALSE),""))</f>
        <v/>
      </c>
      <c r="G330" s="17" t="n"/>
      <c r="H330" s="17">
        <f>IF(D330="",0,IF(COUNTIFS($A$2:A330,A330,$D$2:D330,D330)=1,1,0))</f>
        <v/>
      </c>
      <c r="I330" s="17" t="n"/>
      <c r="J330" s="17" t="n"/>
      <c r="K330" s="18" t="n"/>
      <c r="L330" s="17" t="n"/>
      <c r="M330">
        <f>IF(AND(B330&lt;&gt;"",B330='Por empresa'!$B$2),COUNTIF($B$2:B330,'Por empresa'!$B$2),"")</f>
        <v/>
      </c>
    </row>
    <row r="331">
      <c r="A331" s="17" t="n"/>
      <c r="B331" s="17">
        <f>IF(A331="","",IFERROR(VLOOKUP(A331,Notificações!$A:$B,2,FALSE),"ID não encontrado"))</f>
        <v/>
      </c>
      <c r="C331" s="17" t="n"/>
      <c r="D331" s="17" t="n"/>
      <c r="E331" s="17">
        <f>IF(D331="","",IFERROR(VLOOKUP(D331,Catálogo!$A:$D,2,FALSE),"Código não está no Catálogo"))</f>
        <v/>
      </c>
      <c r="F331" s="17">
        <f>IF(D331="","",IFERROR(VLOOKUP(D331,Catálogo!$A:$D,4,FALSE),""))</f>
        <v/>
      </c>
      <c r="G331" s="17" t="n"/>
      <c r="H331" s="17">
        <f>IF(D331="",0,IF(COUNTIFS($A$2:A331,A331,$D$2:D331,D331)=1,1,0))</f>
        <v/>
      </c>
      <c r="I331" s="17" t="n"/>
      <c r="J331" s="17" t="n"/>
      <c r="K331" s="18" t="n"/>
      <c r="L331" s="17" t="n"/>
      <c r="M331">
        <f>IF(AND(B331&lt;&gt;"",B331='Por empresa'!$B$2),COUNTIF($B$2:B331,'Por empresa'!$B$2),"")</f>
        <v/>
      </c>
    </row>
    <row r="332">
      <c r="A332" s="17" t="n"/>
      <c r="B332" s="17">
        <f>IF(A332="","",IFERROR(VLOOKUP(A332,Notificações!$A:$B,2,FALSE),"ID não encontrado"))</f>
        <v/>
      </c>
      <c r="C332" s="17" t="n"/>
      <c r="D332" s="17" t="n"/>
      <c r="E332" s="17">
        <f>IF(D332="","",IFERROR(VLOOKUP(D332,Catálogo!$A:$D,2,FALSE),"Código não está no Catálogo"))</f>
        <v/>
      </c>
      <c r="F332" s="17">
        <f>IF(D332="","",IFERROR(VLOOKUP(D332,Catálogo!$A:$D,4,FALSE),""))</f>
        <v/>
      </c>
      <c r="G332" s="17" t="n"/>
      <c r="H332" s="17">
        <f>IF(D332="",0,IF(COUNTIFS($A$2:A332,A332,$D$2:D332,D332)=1,1,0))</f>
        <v/>
      </c>
      <c r="I332" s="17" t="n"/>
      <c r="J332" s="17" t="n"/>
      <c r="K332" s="18" t="n"/>
      <c r="L332" s="17" t="n"/>
      <c r="M332">
        <f>IF(AND(B332&lt;&gt;"",B332='Por empresa'!$B$2),COUNTIF($B$2:B332,'Por empresa'!$B$2),"")</f>
        <v/>
      </c>
    </row>
    <row r="333">
      <c r="A333" s="17" t="n"/>
      <c r="B333" s="17">
        <f>IF(A333="","",IFERROR(VLOOKUP(A333,Notificações!$A:$B,2,FALSE),"ID não encontrado"))</f>
        <v/>
      </c>
      <c r="C333" s="17" t="n"/>
      <c r="D333" s="17" t="n"/>
      <c r="E333" s="17">
        <f>IF(D333="","",IFERROR(VLOOKUP(D333,Catálogo!$A:$D,2,FALSE),"Código não está no Catálogo"))</f>
        <v/>
      </c>
      <c r="F333" s="17">
        <f>IF(D333="","",IFERROR(VLOOKUP(D333,Catálogo!$A:$D,4,FALSE),""))</f>
        <v/>
      </c>
      <c r="G333" s="17" t="n"/>
      <c r="H333" s="17">
        <f>IF(D333="",0,IF(COUNTIFS($A$2:A333,A333,$D$2:D333,D333)=1,1,0))</f>
        <v/>
      </c>
      <c r="I333" s="17" t="n"/>
      <c r="J333" s="17" t="n"/>
      <c r="K333" s="18" t="n"/>
      <c r="L333" s="17" t="n"/>
      <c r="M333">
        <f>IF(AND(B333&lt;&gt;"",B333='Por empresa'!$B$2),COUNTIF($B$2:B333,'Por empresa'!$B$2),"")</f>
        <v/>
      </c>
    </row>
    <row r="334">
      <c r="A334" s="17" t="n"/>
      <c r="B334" s="17">
        <f>IF(A334="","",IFERROR(VLOOKUP(A334,Notificações!$A:$B,2,FALSE),"ID não encontrado"))</f>
        <v/>
      </c>
      <c r="C334" s="17" t="n"/>
      <c r="D334" s="17" t="n"/>
      <c r="E334" s="17">
        <f>IF(D334="","",IFERROR(VLOOKUP(D334,Catálogo!$A:$D,2,FALSE),"Código não está no Catálogo"))</f>
        <v/>
      </c>
      <c r="F334" s="17">
        <f>IF(D334="","",IFERROR(VLOOKUP(D334,Catálogo!$A:$D,4,FALSE),""))</f>
        <v/>
      </c>
      <c r="G334" s="17" t="n"/>
      <c r="H334" s="17">
        <f>IF(D334="",0,IF(COUNTIFS($A$2:A334,A334,$D$2:D334,D334)=1,1,0))</f>
        <v/>
      </c>
      <c r="I334" s="17" t="n"/>
      <c r="J334" s="17" t="n"/>
      <c r="K334" s="18" t="n"/>
      <c r="L334" s="17" t="n"/>
      <c r="M334">
        <f>IF(AND(B334&lt;&gt;"",B334='Por empresa'!$B$2),COUNTIF($B$2:B334,'Por empresa'!$B$2),"")</f>
        <v/>
      </c>
    </row>
    <row r="335">
      <c r="A335" s="17" t="n"/>
      <c r="B335" s="17">
        <f>IF(A335="","",IFERROR(VLOOKUP(A335,Notificações!$A:$B,2,FALSE),"ID não encontrado"))</f>
        <v/>
      </c>
      <c r="C335" s="17" t="n"/>
      <c r="D335" s="17" t="n"/>
      <c r="E335" s="17">
        <f>IF(D335="","",IFERROR(VLOOKUP(D335,Catálogo!$A:$D,2,FALSE),"Código não está no Catálogo"))</f>
        <v/>
      </c>
      <c r="F335" s="17">
        <f>IF(D335="","",IFERROR(VLOOKUP(D335,Catálogo!$A:$D,4,FALSE),""))</f>
        <v/>
      </c>
      <c r="G335" s="17" t="n"/>
      <c r="H335" s="17">
        <f>IF(D335="",0,IF(COUNTIFS($A$2:A335,A335,$D$2:D335,D335)=1,1,0))</f>
        <v/>
      </c>
      <c r="I335" s="17" t="n"/>
      <c r="J335" s="17" t="n"/>
      <c r="K335" s="18" t="n"/>
      <c r="L335" s="17" t="n"/>
      <c r="M335">
        <f>IF(AND(B335&lt;&gt;"",B335='Por empresa'!$B$2),COUNTIF($B$2:B335,'Por empresa'!$B$2),"")</f>
        <v/>
      </c>
    </row>
    <row r="336">
      <c r="A336" s="17" t="n"/>
      <c r="B336" s="17">
        <f>IF(A336="","",IFERROR(VLOOKUP(A336,Notificações!$A:$B,2,FALSE),"ID não encontrado"))</f>
        <v/>
      </c>
      <c r="C336" s="17" t="n"/>
      <c r="D336" s="17" t="n"/>
      <c r="E336" s="17">
        <f>IF(D336="","",IFERROR(VLOOKUP(D336,Catálogo!$A:$D,2,FALSE),"Código não está no Catálogo"))</f>
        <v/>
      </c>
      <c r="F336" s="17">
        <f>IF(D336="","",IFERROR(VLOOKUP(D336,Catálogo!$A:$D,4,FALSE),""))</f>
        <v/>
      </c>
      <c r="G336" s="17" t="n"/>
      <c r="H336" s="17">
        <f>IF(D336="",0,IF(COUNTIFS($A$2:A336,A336,$D$2:D336,D336)=1,1,0))</f>
        <v/>
      </c>
      <c r="I336" s="17" t="n"/>
      <c r="J336" s="17" t="n"/>
      <c r="K336" s="18" t="n"/>
      <c r="L336" s="17" t="n"/>
      <c r="M336">
        <f>IF(AND(B336&lt;&gt;"",B336='Por empresa'!$B$2),COUNTIF($B$2:B336,'Por empresa'!$B$2),"")</f>
        <v/>
      </c>
    </row>
    <row r="337">
      <c r="A337" s="17" t="n"/>
      <c r="B337" s="17">
        <f>IF(A337="","",IFERROR(VLOOKUP(A337,Notificações!$A:$B,2,FALSE),"ID não encontrado"))</f>
        <v/>
      </c>
      <c r="C337" s="17" t="n"/>
      <c r="D337" s="17" t="n"/>
      <c r="E337" s="17">
        <f>IF(D337="","",IFERROR(VLOOKUP(D337,Catálogo!$A:$D,2,FALSE),"Código não está no Catálogo"))</f>
        <v/>
      </c>
      <c r="F337" s="17">
        <f>IF(D337="","",IFERROR(VLOOKUP(D337,Catálogo!$A:$D,4,FALSE),""))</f>
        <v/>
      </c>
      <c r="G337" s="17" t="n"/>
      <c r="H337" s="17">
        <f>IF(D337="",0,IF(COUNTIFS($A$2:A337,A337,$D$2:D337,D337)=1,1,0))</f>
        <v/>
      </c>
      <c r="I337" s="17" t="n"/>
      <c r="J337" s="17" t="n"/>
      <c r="K337" s="18" t="n"/>
      <c r="L337" s="17" t="n"/>
      <c r="M337">
        <f>IF(AND(B337&lt;&gt;"",B337='Por empresa'!$B$2),COUNTIF($B$2:B337,'Por empresa'!$B$2),"")</f>
        <v/>
      </c>
    </row>
    <row r="338">
      <c r="A338" s="17" t="n"/>
      <c r="B338" s="17">
        <f>IF(A338="","",IFERROR(VLOOKUP(A338,Notificações!$A:$B,2,FALSE),"ID não encontrado"))</f>
        <v/>
      </c>
      <c r="C338" s="17" t="n"/>
      <c r="D338" s="17" t="n"/>
      <c r="E338" s="17">
        <f>IF(D338="","",IFERROR(VLOOKUP(D338,Catálogo!$A:$D,2,FALSE),"Código não está no Catálogo"))</f>
        <v/>
      </c>
      <c r="F338" s="17">
        <f>IF(D338="","",IFERROR(VLOOKUP(D338,Catálogo!$A:$D,4,FALSE),""))</f>
        <v/>
      </c>
      <c r="G338" s="17" t="n"/>
      <c r="H338" s="17">
        <f>IF(D338="",0,IF(COUNTIFS($A$2:A338,A338,$D$2:D338,D338)=1,1,0))</f>
        <v/>
      </c>
      <c r="I338" s="17" t="n"/>
      <c r="J338" s="17" t="n"/>
      <c r="K338" s="18" t="n"/>
      <c r="L338" s="17" t="n"/>
      <c r="M338">
        <f>IF(AND(B338&lt;&gt;"",B338='Por empresa'!$B$2),COUNTIF($B$2:B338,'Por empresa'!$B$2),"")</f>
        <v/>
      </c>
    </row>
    <row r="339">
      <c r="A339" s="17" t="n"/>
      <c r="B339" s="17">
        <f>IF(A339="","",IFERROR(VLOOKUP(A339,Notificações!$A:$B,2,FALSE),"ID não encontrado"))</f>
        <v/>
      </c>
      <c r="C339" s="17" t="n"/>
      <c r="D339" s="17" t="n"/>
      <c r="E339" s="17">
        <f>IF(D339="","",IFERROR(VLOOKUP(D339,Catálogo!$A:$D,2,FALSE),"Código não está no Catálogo"))</f>
        <v/>
      </c>
      <c r="F339" s="17">
        <f>IF(D339="","",IFERROR(VLOOKUP(D339,Catálogo!$A:$D,4,FALSE),""))</f>
        <v/>
      </c>
      <c r="G339" s="17" t="n"/>
      <c r="H339" s="17">
        <f>IF(D339="",0,IF(COUNTIFS($A$2:A339,A339,$D$2:D339,D339)=1,1,0))</f>
        <v/>
      </c>
      <c r="I339" s="17" t="n"/>
      <c r="J339" s="17" t="n"/>
      <c r="K339" s="18" t="n"/>
      <c r="L339" s="17" t="n"/>
      <c r="M339">
        <f>IF(AND(B339&lt;&gt;"",B339='Por empresa'!$B$2),COUNTIF($B$2:B339,'Por empresa'!$B$2),"")</f>
        <v/>
      </c>
    </row>
    <row r="340">
      <c r="A340" s="17" t="n"/>
      <c r="B340" s="17">
        <f>IF(A340="","",IFERROR(VLOOKUP(A340,Notificações!$A:$B,2,FALSE),"ID não encontrado"))</f>
        <v/>
      </c>
      <c r="C340" s="17" t="n"/>
      <c r="D340" s="17" t="n"/>
      <c r="E340" s="17">
        <f>IF(D340="","",IFERROR(VLOOKUP(D340,Catálogo!$A:$D,2,FALSE),"Código não está no Catálogo"))</f>
        <v/>
      </c>
      <c r="F340" s="17">
        <f>IF(D340="","",IFERROR(VLOOKUP(D340,Catálogo!$A:$D,4,FALSE),""))</f>
        <v/>
      </c>
      <c r="G340" s="17" t="n"/>
      <c r="H340" s="17">
        <f>IF(D340="",0,IF(COUNTIFS($A$2:A340,A340,$D$2:D340,D340)=1,1,0))</f>
        <v/>
      </c>
      <c r="I340" s="17" t="n"/>
      <c r="J340" s="17" t="n"/>
      <c r="K340" s="18" t="n"/>
      <c r="L340" s="17" t="n"/>
      <c r="M340">
        <f>IF(AND(B340&lt;&gt;"",B340='Por empresa'!$B$2),COUNTIF($B$2:B340,'Por empresa'!$B$2),"")</f>
        <v/>
      </c>
    </row>
    <row r="341">
      <c r="A341" s="17" t="n"/>
      <c r="B341" s="17">
        <f>IF(A341="","",IFERROR(VLOOKUP(A341,Notificações!$A:$B,2,FALSE),"ID não encontrado"))</f>
        <v/>
      </c>
      <c r="C341" s="17" t="n"/>
      <c r="D341" s="17" t="n"/>
      <c r="E341" s="17">
        <f>IF(D341="","",IFERROR(VLOOKUP(D341,Catálogo!$A:$D,2,FALSE),"Código não está no Catálogo"))</f>
        <v/>
      </c>
      <c r="F341" s="17">
        <f>IF(D341="","",IFERROR(VLOOKUP(D341,Catálogo!$A:$D,4,FALSE),""))</f>
        <v/>
      </c>
      <c r="G341" s="17" t="n"/>
      <c r="H341" s="17">
        <f>IF(D341="",0,IF(COUNTIFS($A$2:A341,A341,$D$2:D341,D341)=1,1,0))</f>
        <v/>
      </c>
      <c r="I341" s="17" t="n"/>
      <c r="J341" s="17" t="n"/>
      <c r="K341" s="18" t="n"/>
      <c r="L341" s="17" t="n"/>
      <c r="M341">
        <f>IF(AND(B341&lt;&gt;"",B341='Por empresa'!$B$2),COUNTIF($B$2:B341,'Por empresa'!$B$2),"")</f>
        <v/>
      </c>
    </row>
    <row r="342">
      <c r="A342" s="17" t="n"/>
      <c r="B342" s="17">
        <f>IF(A342="","",IFERROR(VLOOKUP(A342,Notificações!$A:$B,2,FALSE),"ID não encontrado"))</f>
        <v/>
      </c>
      <c r="C342" s="17" t="n"/>
      <c r="D342" s="17" t="n"/>
      <c r="E342" s="17">
        <f>IF(D342="","",IFERROR(VLOOKUP(D342,Catálogo!$A:$D,2,FALSE),"Código não está no Catálogo"))</f>
        <v/>
      </c>
      <c r="F342" s="17">
        <f>IF(D342="","",IFERROR(VLOOKUP(D342,Catálogo!$A:$D,4,FALSE),""))</f>
        <v/>
      </c>
      <c r="G342" s="17" t="n"/>
      <c r="H342" s="17">
        <f>IF(D342="",0,IF(COUNTIFS($A$2:A342,A342,$D$2:D342,D342)=1,1,0))</f>
        <v/>
      </c>
      <c r="I342" s="17" t="n"/>
      <c r="J342" s="17" t="n"/>
      <c r="K342" s="18" t="n"/>
      <c r="L342" s="17" t="n"/>
      <c r="M342">
        <f>IF(AND(B342&lt;&gt;"",B342='Por empresa'!$B$2),COUNTIF($B$2:B342,'Por empresa'!$B$2),"")</f>
        <v/>
      </c>
    </row>
    <row r="343">
      <c r="A343" s="17" t="n"/>
      <c r="B343" s="17">
        <f>IF(A343="","",IFERROR(VLOOKUP(A343,Notificações!$A:$B,2,FALSE),"ID não encontrado"))</f>
        <v/>
      </c>
      <c r="C343" s="17" t="n"/>
      <c r="D343" s="17" t="n"/>
      <c r="E343" s="17">
        <f>IF(D343="","",IFERROR(VLOOKUP(D343,Catálogo!$A:$D,2,FALSE),"Código não está no Catálogo"))</f>
        <v/>
      </c>
      <c r="F343" s="17">
        <f>IF(D343="","",IFERROR(VLOOKUP(D343,Catálogo!$A:$D,4,FALSE),""))</f>
        <v/>
      </c>
      <c r="G343" s="17" t="n"/>
      <c r="H343" s="17">
        <f>IF(D343="",0,IF(COUNTIFS($A$2:A343,A343,$D$2:D343,D343)=1,1,0))</f>
        <v/>
      </c>
      <c r="I343" s="17" t="n"/>
      <c r="J343" s="17" t="n"/>
      <c r="K343" s="18" t="n"/>
      <c r="L343" s="17" t="n"/>
      <c r="M343">
        <f>IF(AND(B343&lt;&gt;"",B343='Por empresa'!$B$2),COUNTIF($B$2:B343,'Por empresa'!$B$2),"")</f>
        <v/>
      </c>
    </row>
    <row r="344">
      <c r="A344" s="17" t="n"/>
      <c r="B344" s="17">
        <f>IF(A344="","",IFERROR(VLOOKUP(A344,Notificações!$A:$B,2,FALSE),"ID não encontrado"))</f>
        <v/>
      </c>
      <c r="C344" s="17" t="n"/>
      <c r="D344" s="17" t="n"/>
      <c r="E344" s="17">
        <f>IF(D344="","",IFERROR(VLOOKUP(D344,Catálogo!$A:$D,2,FALSE),"Código não está no Catálogo"))</f>
        <v/>
      </c>
      <c r="F344" s="17">
        <f>IF(D344="","",IFERROR(VLOOKUP(D344,Catálogo!$A:$D,4,FALSE),""))</f>
        <v/>
      </c>
      <c r="G344" s="17" t="n"/>
      <c r="H344" s="17">
        <f>IF(D344="",0,IF(COUNTIFS($A$2:A344,A344,$D$2:D344,D344)=1,1,0))</f>
        <v/>
      </c>
      <c r="I344" s="17" t="n"/>
      <c r="J344" s="17" t="n"/>
      <c r="K344" s="18" t="n"/>
      <c r="L344" s="17" t="n"/>
      <c r="M344">
        <f>IF(AND(B344&lt;&gt;"",B344='Por empresa'!$B$2),COUNTIF($B$2:B344,'Por empresa'!$B$2),"")</f>
        <v/>
      </c>
    </row>
    <row r="345">
      <c r="A345" s="17" t="n"/>
      <c r="B345" s="17">
        <f>IF(A345="","",IFERROR(VLOOKUP(A345,Notificações!$A:$B,2,FALSE),"ID não encontrado"))</f>
        <v/>
      </c>
      <c r="C345" s="17" t="n"/>
      <c r="D345" s="17" t="n"/>
      <c r="E345" s="17">
        <f>IF(D345="","",IFERROR(VLOOKUP(D345,Catálogo!$A:$D,2,FALSE),"Código não está no Catálogo"))</f>
        <v/>
      </c>
      <c r="F345" s="17">
        <f>IF(D345="","",IFERROR(VLOOKUP(D345,Catálogo!$A:$D,4,FALSE),""))</f>
        <v/>
      </c>
      <c r="G345" s="17" t="n"/>
      <c r="H345" s="17">
        <f>IF(D345="",0,IF(COUNTIFS($A$2:A345,A345,$D$2:D345,D345)=1,1,0))</f>
        <v/>
      </c>
      <c r="I345" s="17" t="n"/>
      <c r="J345" s="17" t="n"/>
      <c r="K345" s="18" t="n"/>
      <c r="L345" s="17" t="n"/>
      <c r="M345">
        <f>IF(AND(B345&lt;&gt;"",B345='Por empresa'!$B$2),COUNTIF($B$2:B345,'Por empresa'!$B$2),"")</f>
        <v/>
      </c>
    </row>
    <row r="346">
      <c r="A346" s="17" t="n"/>
      <c r="B346" s="17">
        <f>IF(A346="","",IFERROR(VLOOKUP(A346,Notificações!$A:$B,2,FALSE),"ID não encontrado"))</f>
        <v/>
      </c>
      <c r="C346" s="17" t="n"/>
      <c r="D346" s="17" t="n"/>
      <c r="E346" s="17">
        <f>IF(D346="","",IFERROR(VLOOKUP(D346,Catálogo!$A:$D,2,FALSE),"Código não está no Catálogo"))</f>
        <v/>
      </c>
      <c r="F346" s="17">
        <f>IF(D346="","",IFERROR(VLOOKUP(D346,Catálogo!$A:$D,4,FALSE),""))</f>
        <v/>
      </c>
      <c r="G346" s="17" t="n"/>
      <c r="H346" s="17">
        <f>IF(D346="",0,IF(COUNTIFS($A$2:A346,A346,$D$2:D346,D346)=1,1,0))</f>
        <v/>
      </c>
      <c r="I346" s="17" t="n"/>
      <c r="J346" s="17" t="n"/>
      <c r="K346" s="18" t="n"/>
      <c r="L346" s="17" t="n"/>
      <c r="M346">
        <f>IF(AND(B346&lt;&gt;"",B346='Por empresa'!$B$2),COUNTIF($B$2:B346,'Por empresa'!$B$2),"")</f>
        <v/>
      </c>
    </row>
    <row r="347">
      <c r="A347" s="17" t="n"/>
      <c r="B347" s="17">
        <f>IF(A347="","",IFERROR(VLOOKUP(A347,Notificações!$A:$B,2,FALSE),"ID não encontrado"))</f>
        <v/>
      </c>
      <c r="C347" s="17" t="n"/>
      <c r="D347" s="17" t="n"/>
      <c r="E347" s="17">
        <f>IF(D347="","",IFERROR(VLOOKUP(D347,Catálogo!$A:$D,2,FALSE),"Código não está no Catálogo"))</f>
        <v/>
      </c>
      <c r="F347" s="17">
        <f>IF(D347="","",IFERROR(VLOOKUP(D347,Catálogo!$A:$D,4,FALSE),""))</f>
        <v/>
      </c>
      <c r="G347" s="17" t="n"/>
      <c r="H347" s="17">
        <f>IF(D347="",0,IF(COUNTIFS($A$2:A347,A347,$D$2:D347,D347)=1,1,0))</f>
        <v/>
      </c>
      <c r="I347" s="17" t="n"/>
      <c r="J347" s="17" t="n"/>
      <c r="K347" s="18" t="n"/>
      <c r="L347" s="17" t="n"/>
      <c r="M347">
        <f>IF(AND(B347&lt;&gt;"",B347='Por empresa'!$B$2),COUNTIF($B$2:B347,'Por empresa'!$B$2),"")</f>
        <v/>
      </c>
    </row>
    <row r="348">
      <c r="A348" s="17" t="n"/>
      <c r="B348" s="17">
        <f>IF(A348="","",IFERROR(VLOOKUP(A348,Notificações!$A:$B,2,FALSE),"ID não encontrado"))</f>
        <v/>
      </c>
      <c r="C348" s="17" t="n"/>
      <c r="D348" s="17" t="n"/>
      <c r="E348" s="17">
        <f>IF(D348="","",IFERROR(VLOOKUP(D348,Catálogo!$A:$D,2,FALSE),"Código não está no Catálogo"))</f>
        <v/>
      </c>
      <c r="F348" s="17">
        <f>IF(D348="","",IFERROR(VLOOKUP(D348,Catálogo!$A:$D,4,FALSE),""))</f>
        <v/>
      </c>
      <c r="G348" s="17" t="n"/>
      <c r="H348" s="17">
        <f>IF(D348="",0,IF(COUNTIFS($A$2:A348,A348,$D$2:D348,D348)=1,1,0))</f>
        <v/>
      </c>
      <c r="I348" s="17" t="n"/>
      <c r="J348" s="17" t="n"/>
      <c r="K348" s="18" t="n"/>
      <c r="L348" s="17" t="n"/>
      <c r="M348">
        <f>IF(AND(B348&lt;&gt;"",B348='Por empresa'!$B$2),COUNTIF($B$2:B348,'Por empresa'!$B$2),"")</f>
        <v/>
      </c>
    </row>
    <row r="349">
      <c r="A349" s="17" t="n"/>
      <c r="B349" s="17">
        <f>IF(A349="","",IFERROR(VLOOKUP(A349,Notificações!$A:$B,2,FALSE),"ID não encontrado"))</f>
        <v/>
      </c>
      <c r="C349" s="17" t="n"/>
      <c r="D349" s="17" t="n"/>
      <c r="E349" s="17">
        <f>IF(D349="","",IFERROR(VLOOKUP(D349,Catálogo!$A:$D,2,FALSE),"Código não está no Catálogo"))</f>
        <v/>
      </c>
      <c r="F349" s="17">
        <f>IF(D349="","",IFERROR(VLOOKUP(D349,Catálogo!$A:$D,4,FALSE),""))</f>
        <v/>
      </c>
      <c r="G349" s="17" t="n"/>
      <c r="H349" s="17">
        <f>IF(D349="",0,IF(COUNTIFS($A$2:A349,A349,$D$2:D349,D349)=1,1,0))</f>
        <v/>
      </c>
      <c r="I349" s="17" t="n"/>
      <c r="J349" s="17" t="n"/>
      <c r="K349" s="18" t="n"/>
      <c r="L349" s="17" t="n"/>
      <c r="M349">
        <f>IF(AND(B349&lt;&gt;"",B349='Por empresa'!$B$2),COUNTIF($B$2:B349,'Por empresa'!$B$2),"")</f>
        <v/>
      </c>
    </row>
    <row r="350">
      <c r="A350" s="17" t="n"/>
      <c r="B350" s="17">
        <f>IF(A350="","",IFERROR(VLOOKUP(A350,Notificações!$A:$B,2,FALSE),"ID não encontrado"))</f>
        <v/>
      </c>
      <c r="C350" s="17" t="n"/>
      <c r="D350" s="17" t="n"/>
      <c r="E350" s="17">
        <f>IF(D350="","",IFERROR(VLOOKUP(D350,Catálogo!$A:$D,2,FALSE),"Código não está no Catálogo"))</f>
        <v/>
      </c>
      <c r="F350" s="17">
        <f>IF(D350="","",IFERROR(VLOOKUP(D350,Catálogo!$A:$D,4,FALSE),""))</f>
        <v/>
      </c>
      <c r="G350" s="17" t="n"/>
      <c r="H350" s="17">
        <f>IF(D350="",0,IF(COUNTIFS($A$2:A350,A350,$D$2:D350,D350)=1,1,0))</f>
        <v/>
      </c>
      <c r="I350" s="17" t="n"/>
      <c r="J350" s="17" t="n"/>
      <c r="K350" s="18" t="n"/>
      <c r="L350" s="17" t="n"/>
      <c r="M350">
        <f>IF(AND(B350&lt;&gt;"",B350='Por empresa'!$B$2),COUNTIF($B$2:B350,'Por empresa'!$B$2),"")</f>
        <v/>
      </c>
    </row>
    <row r="351">
      <c r="A351" s="17" t="n"/>
      <c r="B351" s="17">
        <f>IF(A351="","",IFERROR(VLOOKUP(A351,Notificações!$A:$B,2,FALSE),"ID não encontrado"))</f>
        <v/>
      </c>
      <c r="C351" s="17" t="n"/>
      <c r="D351" s="17" t="n"/>
      <c r="E351" s="17">
        <f>IF(D351="","",IFERROR(VLOOKUP(D351,Catálogo!$A:$D,2,FALSE),"Código não está no Catálogo"))</f>
        <v/>
      </c>
      <c r="F351" s="17">
        <f>IF(D351="","",IFERROR(VLOOKUP(D351,Catálogo!$A:$D,4,FALSE),""))</f>
        <v/>
      </c>
      <c r="G351" s="17" t="n"/>
      <c r="H351" s="17">
        <f>IF(D351="",0,IF(COUNTIFS($A$2:A351,A351,$D$2:D351,D351)=1,1,0))</f>
        <v/>
      </c>
      <c r="I351" s="17" t="n"/>
      <c r="J351" s="17" t="n"/>
      <c r="K351" s="18" t="n"/>
      <c r="L351" s="17" t="n"/>
      <c r="M351">
        <f>IF(AND(B351&lt;&gt;"",B351='Por empresa'!$B$2),COUNTIF($B$2:B351,'Por empresa'!$B$2),"")</f>
        <v/>
      </c>
    </row>
    <row r="352">
      <c r="A352" s="17" t="n"/>
      <c r="B352" s="17">
        <f>IF(A352="","",IFERROR(VLOOKUP(A352,Notificações!$A:$B,2,FALSE),"ID não encontrado"))</f>
        <v/>
      </c>
      <c r="C352" s="17" t="n"/>
      <c r="D352" s="17" t="n"/>
      <c r="E352" s="17">
        <f>IF(D352="","",IFERROR(VLOOKUP(D352,Catálogo!$A:$D,2,FALSE),"Código não está no Catálogo"))</f>
        <v/>
      </c>
      <c r="F352" s="17">
        <f>IF(D352="","",IFERROR(VLOOKUP(D352,Catálogo!$A:$D,4,FALSE),""))</f>
        <v/>
      </c>
      <c r="G352" s="17" t="n"/>
      <c r="H352" s="17">
        <f>IF(D352="",0,IF(COUNTIFS($A$2:A352,A352,$D$2:D352,D352)=1,1,0))</f>
        <v/>
      </c>
      <c r="I352" s="17" t="n"/>
      <c r="J352" s="17" t="n"/>
      <c r="K352" s="18" t="n"/>
      <c r="L352" s="17" t="n"/>
      <c r="M352">
        <f>IF(AND(B352&lt;&gt;"",B352='Por empresa'!$B$2),COUNTIF($B$2:B352,'Por empresa'!$B$2),"")</f>
        <v/>
      </c>
    </row>
    <row r="353">
      <c r="A353" s="17" t="n"/>
      <c r="B353" s="17">
        <f>IF(A353="","",IFERROR(VLOOKUP(A353,Notificações!$A:$B,2,FALSE),"ID não encontrado"))</f>
        <v/>
      </c>
      <c r="C353" s="17" t="n"/>
      <c r="D353" s="17" t="n"/>
      <c r="E353" s="17">
        <f>IF(D353="","",IFERROR(VLOOKUP(D353,Catálogo!$A:$D,2,FALSE),"Código não está no Catálogo"))</f>
        <v/>
      </c>
      <c r="F353" s="17">
        <f>IF(D353="","",IFERROR(VLOOKUP(D353,Catálogo!$A:$D,4,FALSE),""))</f>
        <v/>
      </c>
      <c r="G353" s="17" t="n"/>
      <c r="H353" s="17">
        <f>IF(D353="",0,IF(COUNTIFS($A$2:A353,A353,$D$2:D353,D353)=1,1,0))</f>
        <v/>
      </c>
      <c r="I353" s="17" t="n"/>
      <c r="J353" s="17" t="n"/>
      <c r="K353" s="18" t="n"/>
      <c r="L353" s="17" t="n"/>
      <c r="M353">
        <f>IF(AND(B353&lt;&gt;"",B353='Por empresa'!$B$2),COUNTIF($B$2:B353,'Por empresa'!$B$2),"")</f>
        <v/>
      </c>
    </row>
    <row r="354">
      <c r="A354" s="17" t="n"/>
      <c r="B354" s="17">
        <f>IF(A354="","",IFERROR(VLOOKUP(A354,Notificações!$A:$B,2,FALSE),"ID não encontrado"))</f>
        <v/>
      </c>
      <c r="C354" s="17" t="n"/>
      <c r="D354" s="17" t="n"/>
      <c r="E354" s="17">
        <f>IF(D354="","",IFERROR(VLOOKUP(D354,Catálogo!$A:$D,2,FALSE),"Código não está no Catálogo"))</f>
        <v/>
      </c>
      <c r="F354" s="17">
        <f>IF(D354="","",IFERROR(VLOOKUP(D354,Catálogo!$A:$D,4,FALSE),""))</f>
        <v/>
      </c>
      <c r="G354" s="17" t="n"/>
      <c r="H354" s="17">
        <f>IF(D354="",0,IF(COUNTIFS($A$2:A354,A354,$D$2:D354,D354)=1,1,0))</f>
        <v/>
      </c>
      <c r="I354" s="17" t="n"/>
      <c r="J354" s="17" t="n"/>
      <c r="K354" s="18" t="n"/>
      <c r="L354" s="17" t="n"/>
      <c r="M354">
        <f>IF(AND(B354&lt;&gt;"",B354='Por empresa'!$B$2),COUNTIF($B$2:B354,'Por empresa'!$B$2),"")</f>
        <v/>
      </c>
    </row>
    <row r="355">
      <c r="A355" s="17" t="n"/>
      <c r="B355" s="17">
        <f>IF(A355="","",IFERROR(VLOOKUP(A355,Notificações!$A:$B,2,FALSE),"ID não encontrado"))</f>
        <v/>
      </c>
      <c r="C355" s="17" t="n"/>
      <c r="D355" s="17" t="n"/>
      <c r="E355" s="17">
        <f>IF(D355="","",IFERROR(VLOOKUP(D355,Catálogo!$A:$D,2,FALSE),"Código não está no Catálogo"))</f>
        <v/>
      </c>
      <c r="F355" s="17">
        <f>IF(D355="","",IFERROR(VLOOKUP(D355,Catálogo!$A:$D,4,FALSE),""))</f>
        <v/>
      </c>
      <c r="G355" s="17" t="n"/>
      <c r="H355" s="17">
        <f>IF(D355="",0,IF(COUNTIFS($A$2:A355,A355,$D$2:D355,D355)=1,1,0))</f>
        <v/>
      </c>
      <c r="I355" s="17" t="n"/>
      <c r="J355" s="17" t="n"/>
      <c r="K355" s="18" t="n"/>
      <c r="L355" s="17" t="n"/>
      <c r="M355">
        <f>IF(AND(B355&lt;&gt;"",B355='Por empresa'!$B$2),COUNTIF($B$2:B355,'Por empresa'!$B$2),"")</f>
        <v/>
      </c>
    </row>
    <row r="356">
      <c r="A356" s="17" t="n"/>
      <c r="B356" s="17">
        <f>IF(A356="","",IFERROR(VLOOKUP(A356,Notificações!$A:$B,2,FALSE),"ID não encontrado"))</f>
        <v/>
      </c>
      <c r="C356" s="17" t="n"/>
      <c r="D356" s="17" t="n"/>
      <c r="E356" s="17">
        <f>IF(D356="","",IFERROR(VLOOKUP(D356,Catálogo!$A:$D,2,FALSE),"Código não está no Catálogo"))</f>
        <v/>
      </c>
      <c r="F356" s="17">
        <f>IF(D356="","",IFERROR(VLOOKUP(D356,Catálogo!$A:$D,4,FALSE),""))</f>
        <v/>
      </c>
      <c r="G356" s="17" t="n"/>
      <c r="H356" s="17">
        <f>IF(D356="",0,IF(COUNTIFS($A$2:A356,A356,$D$2:D356,D356)=1,1,0))</f>
        <v/>
      </c>
      <c r="I356" s="17" t="n"/>
      <c r="J356" s="17" t="n"/>
      <c r="K356" s="18" t="n"/>
      <c r="L356" s="17" t="n"/>
      <c r="M356">
        <f>IF(AND(B356&lt;&gt;"",B356='Por empresa'!$B$2),COUNTIF($B$2:B356,'Por empresa'!$B$2),"")</f>
        <v/>
      </c>
    </row>
    <row r="357">
      <c r="A357" s="17" t="n"/>
      <c r="B357" s="17">
        <f>IF(A357="","",IFERROR(VLOOKUP(A357,Notificações!$A:$B,2,FALSE),"ID não encontrado"))</f>
        <v/>
      </c>
      <c r="C357" s="17" t="n"/>
      <c r="D357" s="17" t="n"/>
      <c r="E357" s="17">
        <f>IF(D357="","",IFERROR(VLOOKUP(D357,Catálogo!$A:$D,2,FALSE),"Código não está no Catálogo"))</f>
        <v/>
      </c>
      <c r="F357" s="17">
        <f>IF(D357="","",IFERROR(VLOOKUP(D357,Catálogo!$A:$D,4,FALSE),""))</f>
        <v/>
      </c>
      <c r="G357" s="17" t="n"/>
      <c r="H357" s="17">
        <f>IF(D357="",0,IF(COUNTIFS($A$2:A357,A357,$D$2:D357,D357)=1,1,0))</f>
        <v/>
      </c>
      <c r="I357" s="17" t="n"/>
      <c r="J357" s="17" t="n"/>
      <c r="K357" s="18" t="n"/>
      <c r="L357" s="17" t="n"/>
      <c r="M357">
        <f>IF(AND(B357&lt;&gt;"",B357='Por empresa'!$B$2),COUNTIF($B$2:B357,'Por empresa'!$B$2),"")</f>
        <v/>
      </c>
    </row>
    <row r="358">
      <c r="A358" s="17" t="n"/>
      <c r="B358" s="17">
        <f>IF(A358="","",IFERROR(VLOOKUP(A358,Notificações!$A:$B,2,FALSE),"ID não encontrado"))</f>
        <v/>
      </c>
      <c r="C358" s="17" t="n"/>
      <c r="D358" s="17" t="n"/>
      <c r="E358" s="17">
        <f>IF(D358="","",IFERROR(VLOOKUP(D358,Catálogo!$A:$D,2,FALSE),"Código não está no Catálogo"))</f>
        <v/>
      </c>
      <c r="F358" s="17">
        <f>IF(D358="","",IFERROR(VLOOKUP(D358,Catálogo!$A:$D,4,FALSE),""))</f>
        <v/>
      </c>
      <c r="G358" s="17" t="n"/>
      <c r="H358" s="17">
        <f>IF(D358="",0,IF(COUNTIFS($A$2:A358,A358,$D$2:D358,D358)=1,1,0))</f>
        <v/>
      </c>
      <c r="I358" s="17" t="n"/>
      <c r="J358" s="17" t="n"/>
      <c r="K358" s="18" t="n"/>
      <c r="L358" s="17" t="n"/>
      <c r="M358">
        <f>IF(AND(B358&lt;&gt;"",B358='Por empresa'!$B$2),COUNTIF($B$2:B358,'Por empresa'!$B$2),"")</f>
        <v/>
      </c>
    </row>
    <row r="359">
      <c r="A359" s="17" t="n"/>
      <c r="B359" s="17">
        <f>IF(A359="","",IFERROR(VLOOKUP(A359,Notificações!$A:$B,2,FALSE),"ID não encontrado"))</f>
        <v/>
      </c>
      <c r="C359" s="17" t="n"/>
      <c r="D359" s="17" t="n"/>
      <c r="E359" s="17">
        <f>IF(D359="","",IFERROR(VLOOKUP(D359,Catálogo!$A:$D,2,FALSE),"Código não está no Catálogo"))</f>
        <v/>
      </c>
      <c r="F359" s="17">
        <f>IF(D359="","",IFERROR(VLOOKUP(D359,Catálogo!$A:$D,4,FALSE),""))</f>
        <v/>
      </c>
      <c r="G359" s="17" t="n"/>
      <c r="H359" s="17">
        <f>IF(D359="",0,IF(COUNTIFS($A$2:A359,A359,$D$2:D359,D359)=1,1,0))</f>
        <v/>
      </c>
      <c r="I359" s="17" t="n"/>
      <c r="J359" s="17" t="n"/>
      <c r="K359" s="18" t="n"/>
      <c r="L359" s="17" t="n"/>
      <c r="M359">
        <f>IF(AND(B359&lt;&gt;"",B359='Por empresa'!$B$2),COUNTIF($B$2:B359,'Por empresa'!$B$2),"")</f>
        <v/>
      </c>
    </row>
    <row r="360">
      <c r="A360" s="17" t="n"/>
      <c r="B360" s="17">
        <f>IF(A360="","",IFERROR(VLOOKUP(A360,Notificações!$A:$B,2,FALSE),"ID não encontrado"))</f>
        <v/>
      </c>
      <c r="C360" s="17" t="n"/>
      <c r="D360" s="17" t="n"/>
      <c r="E360" s="17">
        <f>IF(D360="","",IFERROR(VLOOKUP(D360,Catálogo!$A:$D,2,FALSE),"Código não está no Catálogo"))</f>
        <v/>
      </c>
      <c r="F360" s="17">
        <f>IF(D360="","",IFERROR(VLOOKUP(D360,Catálogo!$A:$D,4,FALSE),""))</f>
        <v/>
      </c>
      <c r="G360" s="17" t="n"/>
      <c r="H360" s="17">
        <f>IF(D360="",0,IF(COUNTIFS($A$2:A360,A360,$D$2:D360,D360)=1,1,0))</f>
        <v/>
      </c>
      <c r="I360" s="17" t="n"/>
      <c r="J360" s="17" t="n"/>
      <c r="K360" s="18" t="n"/>
      <c r="L360" s="17" t="n"/>
      <c r="M360">
        <f>IF(AND(B360&lt;&gt;"",B360='Por empresa'!$B$2),COUNTIF($B$2:B360,'Por empresa'!$B$2),"")</f>
        <v/>
      </c>
    </row>
    <row r="361">
      <c r="A361" s="17" t="n"/>
      <c r="B361" s="17">
        <f>IF(A361="","",IFERROR(VLOOKUP(A361,Notificações!$A:$B,2,FALSE),"ID não encontrado"))</f>
        <v/>
      </c>
      <c r="C361" s="17" t="n"/>
      <c r="D361" s="17" t="n"/>
      <c r="E361" s="17">
        <f>IF(D361="","",IFERROR(VLOOKUP(D361,Catálogo!$A:$D,2,FALSE),"Código não está no Catálogo"))</f>
        <v/>
      </c>
      <c r="F361" s="17">
        <f>IF(D361="","",IFERROR(VLOOKUP(D361,Catálogo!$A:$D,4,FALSE),""))</f>
        <v/>
      </c>
      <c r="G361" s="17" t="n"/>
      <c r="H361" s="17">
        <f>IF(D361="",0,IF(COUNTIFS($A$2:A361,A361,$D$2:D361,D361)=1,1,0))</f>
        <v/>
      </c>
      <c r="I361" s="17" t="n"/>
      <c r="J361" s="17" t="n"/>
      <c r="K361" s="18" t="n"/>
      <c r="L361" s="17" t="n"/>
      <c r="M361">
        <f>IF(AND(B361&lt;&gt;"",B361='Por empresa'!$B$2),COUNTIF($B$2:B361,'Por empresa'!$B$2),"")</f>
        <v/>
      </c>
    </row>
    <row r="362">
      <c r="A362" s="17" t="n"/>
      <c r="B362" s="17">
        <f>IF(A362="","",IFERROR(VLOOKUP(A362,Notificações!$A:$B,2,FALSE),"ID não encontrado"))</f>
        <v/>
      </c>
      <c r="C362" s="17" t="n"/>
      <c r="D362" s="17" t="n"/>
      <c r="E362" s="17">
        <f>IF(D362="","",IFERROR(VLOOKUP(D362,Catálogo!$A:$D,2,FALSE),"Código não está no Catálogo"))</f>
        <v/>
      </c>
      <c r="F362" s="17">
        <f>IF(D362="","",IFERROR(VLOOKUP(D362,Catálogo!$A:$D,4,FALSE),""))</f>
        <v/>
      </c>
      <c r="G362" s="17" t="n"/>
      <c r="H362" s="17">
        <f>IF(D362="",0,IF(COUNTIFS($A$2:A362,A362,$D$2:D362,D362)=1,1,0))</f>
        <v/>
      </c>
      <c r="I362" s="17" t="n"/>
      <c r="J362" s="17" t="n"/>
      <c r="K362" s="18" t="n"/>
      <c r="L362" s="17" t="n"/>
      <c r="M362">
        <f>IF(AND(B362&lt;&gt;"",B362='Por empresa'!$B$2),COUNTIF($B$2:B362,'Por empresa'!$B$2),"")</f>
        <v/>
      </c>
    </row>
    <row r="363">
      <c r="A363" s="17" t="n"/>
      <c r="B363" s="17">
        <f>IF(A363="","",IFERROR(VLOOKUP(A363,Notificações!$A:$B,2,FALSE),"ID não encontrado"))</f>
        <v/>
      </c>
      <c r="C363" s="17" t="n"/>
      <c r="D363" s="17" t="n"/>
      <c r="E363" s="17">
        <f>IF(D363="","",IFERROR(VLOOKUP(D363,Catálogo!$A:$D,2,FALSE),"Código não está no Catálogo"))</f>
        <v/>
      </c>
      <c r="F363" s="17">
        <f>IF(D363="","",IFERROR(VLOOKUP(D363,Catálogo!$A:$D,4,FALSE),""))</f>
        <v/>
      </c>
      <c r="G363" s="17" t="n"/>
      <c r="H363" s="17">
        <f>IF(D363="",0,IF(COUNTIFS($A$2:A363,A363,$D$2:D363,D363)=1,1,0))</f>
        <v/>
      </c>
      <c r="I363" s="17" t="n"/>
      <c r="J363" s="17" t="n"/>
      <c r="K363" s="18" t="n"/>
      <c r="L363" s="17" t="n"/>
      <c r="M363">
        <f>IF(AND(B363&lt;&gt;"",B363='Por empresa'!$B$2),COUNTIF($B$2:B363,'Por empresa'!$B$2),"")</f>
        <v/>
      </c>
    </row>
    <row r="364">
      <c r="A364" s="17" t="n"/>
      <c r="B364" s="17">
        <f>IF(A364="","",IFERROR(VLOOKUP(A364,Notificações!$A:$B,2,FALSE),"ID não encontrado"))</f>
        <v/>
      </c>
      <c r="C364" s="17" t="n"/>
      <c r="D364" s="17" t="n"/>
      <c r="E364" s="17">
        <f>IF(D364="","",IFERROR(VLOOKUP(D364,Catálogo!$A:$D,2,FALSE),"Código não está no Catálogo"))</f>
        <v/>
      </c>
      <c r="F364" s="17">
        <f>IF(D364="","",IFERROR(VLOOKUP(D364,Catálogo!$A:$D,4,FALSE),""))</f>
        <v/>
      </c>
      <c r="G364" s="17" t="n"/>
      <c r="H364" s="17">
        <f>IF(D364="",0,IF(COUNTIFS($A$2:A364,A364,$D$2:D364,D364)=1,1,0))</f>
        <v/>
      </c>
      <c r="I364" s="17" t="n"/>
      <c r="J364" s="17" t="n"/>
      <c r="K364" s="18" t="n"/>
      <c r="L364" s="17" t="n"/>
      <c r="M364">
        <f>IF(AND(B364&lt;&gt;"",B364='Por empresa'!$B$2),COUNTIF($B$2:B364,'Por empresa'!$B$2),"")</f>
        <v/>
      </c>
    </row>
    <row r="365">
      <c r="A365" s="17" t="n"/>
      <c r="B365" s="17">
        <f>IF(A365="","",IFERROR(VLOOKUP(A365,Notificações!$A:$B,2,FALSE),"ID não encontrado"))</f>
        <v/>
      </c>
      <c r="C365" s="17" t="n"/>
      <c r="D365" s="17" t="n"/>
      <c r="E365" s="17">
        <f>IF(D365="","",IFERROR(VLOOKUP(D365,Catálogo!$A:$D,2,FALSE),"Código não está no Catálogo"))</f>
        <v/>
      </c>
      <c r="F365" s="17">
        <f>IF(D365="","",IFERROR(VLOOKUP(D365,Catálogo!$A:$D,4,FALSE),""))</f>
        <v/>
      </c>
      <c r="G365" s="17" t="n"/>
      <c r="H365" s="17">
        <f>IF(D365="",0,IF(COUNTIFS($A$2:A365,A365,$D$2:D365,D365)=1,1,0))</f>
        <v/>
      </c>
      <c r="I365" s="17" t="n"/>
      <c r="J365" s="17" t="n"/>
      <c r="K365" s="18" t="n"/>
      <c r="L365" s="17" t="n"/>
      <c r="M365">
        <f>IF(AND(B365&lt;&gt;"",B365='Por empresa'!$B$2),COUNTIF($B$2:B365,'Por empresa'!$B$2),"")</f>
        <v/>
      </c>
    </row>
    <row r="366">
      <c r="A366" s="17" t="n"/>
      <c r="B366" s="17">
        <f>IF(A366="","",IFERROR(VLOOKUP(A366,Notificações!$A:$B,2,FALSE),"ID não encontrado"))</f>
        <v/>
      </c>
      <c r="C366" s="17" t="n"/>
      <c r="D366" s="17" t="n"/>
      <c r="E366" s="17">
        <f>IF(D366="","",IFERROR(VLOOKUP(D366,Catálogo!$A:$D,2,FALSE),"Código não está no Catálogo"))</f>
        <v/>
      </c>
      <c r="F366" s="17">
        <f>IF(D366="","",IFERROR(VLOOKUP(D366,Catálogo!$A:$D,4,FALSE),""))</f>
        <v/>
      </c>
      <c r="G366" s="17" t="n"/>
      <c r="H366" s="17">
        <f>IF(D366="",0,IF(COUNTIFS($A$2:A366,A366,$D$2:D366,D366)=1,1,0))</f>
        <v/>
      </c>
      <c r="I366" s="17" t="n"/>
      <c r="J366" s="17" t="n"/>
      <c r="K366" s="18" t="n"/>
      <c r="L366" s="17" t="n"/>
      <c r="M366">
        <f>IF(AND(B366&lt;&gt;"",B366='Por empresa'!$B$2),COUNTIF($B$2:B366,'Por empresa'!$B$2),"")</f>
        <v/>
      </c>
    </row>
    <row r="367">
      <c r="A367" s="17" t="n"/>
      <c r="B367" s="17">
        <f>IF(A367="","",IFERROR(VLOOKUP(A367,Notificações!$A:$B,2,FALSE),"ID não encontrado"))</f>
        <v/>
      </c>
      <c r="C367" s="17" t="n"/>
      <c r="D367" s="17" t="n"/>
      <c r="E367" s="17">
        <f>IF(D367="","",IFERROR(VLOOKUP(D367,Catálogo!$A:$D,2,FALSE),"Código não está no Catálogo"))</f>
        <v/>
      </c>
      <c r="F367" s="17">
        <f>IF(D367="","",IFERROR(VLOOKUP(D367,Catálogo!$A:$D,4,FALSE),""))</f>
        <v/>
      </c>
      <c r="G367" s="17" t="n"/>
      <c r="H367" s="17">
        <f>IF(D367="",0,IF(COUNTIFS($A$2:A367,A367,$D$2:D367,D367)=1,1,0))</f>
        <v/>
      </c>
      <c r="I367" s="17" t="n"/>
      <c r="J367" s="17" t="n"/>
      <c r="K367" s="18" t="n"/>
      <c r="L367" s="17" t="n"/>
      <c r="M367">
        <f>IF(AND(B367&lt;&gt;"",B367='Por empresa'!$B$2),COUNTIF($B$2:B367,'Por empresa'!$B$2),"")</f>
        <v/>
      </c>
    </row>
    <row r="368">
      <c r="A368" s="17" t="n"/>
      <c r="B368" s="17">
        <f>IF(A368="","",IFERROR(VLOOKUP(A368,Notificações!$A:$B,2,FALSE),"ID não encontrado"))</f>
        <v/>
      </c>
      <c r="C368" s="17" t="n"/>
      <c r="D368" s="17" t="n"/>
      <c r="E368" s="17">
        <f>IF(D368="","",IFERROR(VLOOKUP(D368,Catálogo!$A:$D,2,FALSE),"Código não está no Catálogo"))</f>
        <v/>
      </c>
      <c r="F368" s="17">
        <f>IF(D368="","",IFERROR(VLOOKUP(D368,Catálogo!$A:$D,4,FALSE),""))</f>
        <v/>
      </c>
      <c r="G368" s="17" t="n"/>
      <c r="H368" s="17">
        <f>IF(D368="",0,IF(COUNTIFS($A$2:A368,A368,$D$2:D368,D368)=1,1,0))</f>
        <v/>
      </c>
      <c r="I368" s="17" t="n"/>
      <c r="J368" s="17" t="n"/>
      <c r="K368" s="18" t="n"/>
      <c r="L368" s="17" t="n"/>
      <c r="M368">
        <f>IF(AND(B368&lt;&gt;"",B368='Por empresa'!$B$2),COUNTIF($B$2:B368,'Por empresa'!$B$2),"")</f>
        <v/>
      </c>
    </row>
    <row r="369">
      <c r="A369" s="17" t="n"/>
      <c r="B369" s="17">
        <f>IF(A369="","",IFERROR(VLOOKUP(A369,Notificações!$A:$B,2,FALSE),"ID não encontrado"))</f>
        <v/>
      </c>
      <c r="C369" s="17" t="n"/>
      <c r="D369" s="17" t="n"/>
      <c r="E369" s="17">
        <f>IF(D369="","",IFERROR(VLOOKUP(D369,Catálogo!$A:$D,2,FALSE),"Código não está no Catálogo"))</f>
        <v/>
      </c>
      <c r="F369" s="17">
        <f>IF(D369="","",IFERROR(VLOOKUP(D369,Catálogo!$A:$D,4,FALSE),""))</f>
        <v/>
      </c>
      <c r="G369" s="17" t="n"/>
      <c r="H369" s="17">
        <f>IF(D369="",0,IF(COUNTIFS($A$2:A369,A369,$D$2:D369,D369)=1,1,0))</f>
        <v/>
      </c>
      <c r="I369" s="17" t="n"/>
      <c r="J369" s="17" t="n"/>
      <c r="K369" s="18" t="n"/>
      <c r="L369" s="17" t="n"/>
      <c r="M369">
        <f>IF(AND(B369&lt;&gt;"",B369='Por empresa'!$B$2),COUNTIF($B$2:B369,'Por empresa'!$B$2),"")</f>
        <v/>
      </c>
    </row>
    <row r="370">
      <c r="A370" s="17" t="n"/>
      <c r="B370" s="17">
        <f>IF(A370="","",IFERROR(VLOOKUP(A370,Notificações!$A:$B,2,FALSE),"ID não encontrado"))</f>
        <v/>
      </c>
      <c r="C370" s="17" t="n"/>
      <c r="D370" s="17" t="n"/>
      <c r="E370" s="17">
        <f>IF(D370="","",IFERROR(VLOOKUP(D370,Catálogo!$A:$D,2,FALSE),"Código não está no Catálogo"))</f>
        <v/>
      </c>
      <c r="F370" s="17">
        <f>IF(D370="","",IFERROR(VLOOKUP(D370,Catálogo!$A:$D,4,FALSE),""))</f>
        <v/>
      </c>
      <c r="G370" s="17" t="n"/>
      <c r="H370" s="17">
        <f>IF(D370="",0,IF(COUNTIFS($A$2:A370,A370,$D$2:D370,D370)=1,1,0))</f>
        <v/>
      </c>
      <c r="I370" s="17" t="n"/>
      <c r="J370" s="17" t="n"/>
      <c r="K370" s="18" t="n"/>
      <c r="L370" s="17" t="n"/>
      <c r="M370">
        <f>IF(AND(B370&lt;&gt;"",B370='Por empresa'!$B$2),COUNTIF($B$2:B370,'Por empresa'!$B$2),"")</f>
        <v/>
      </c>
    </row>
    <row r="371">
      <c r="A371" s="17" t="n"/>
      <c r="B371" s="17">
        <f>IF(A371="","",IFERROR(VLOOKUP(A371,Notificações!$A:$B,2,FALSE),"ID não encontrado"))</f>
        <v/>
      </c>
      <c r="C371" s="17" t="n"/>
      <c r="D371" s="17" t="n"/>
      <c r="E371" s="17">
        <f>IF(D371="","",IFERROR(VLOOKUP(D371,Catálogo!$A:$D,2,FALSE),"Código não está no Catálogo"))</f>
        <v/>
      </c>
      <c r="F371" s="17">
        <f>IF(D371="","",IFERROR(VLOOKUP(D371,Catálogo!$A:$D,4,FALSE),""))</f>
        <v/>
      </c>
      <c r="G371" s="17" t="n"/>
      <c r="H371" s="17">
        <f>IF(D371="",0,IF(COUNTIFS($A$2:A371,A371,$D$2:D371,D371)=1,1,0))</f>
        <v/>
      </c>
      <c r="I371" s="17" t="n"/>
      <c r="J371" s="17" t="n"/>
      <c r="K371" s="18" t="n"/>
      <c r="L371" s="17" t="n"/>
      <c r="M371">
        <f>IF(AND(B371&lt;&gt;"",B371='Por empresa'!$B$2),COUNTIF($B$2:B371,'Por empresa'!$B$2),"")</f>
        <v/>
      </c>
    </row>
    <row r="372">
      <c r="A372" s="17" t="n"/>
      <c r="B372" s="17">
        <f>IF(A372="","",IFERROR(VLOOKUP(A372,Notificações!$A:$B,2,FALSE),"ID não encontrado"))</f>
        <v/>
      </c>
      <c r="C372" s="17" t="n"/>
      <c r="D372" s="17" t="n"/>
      <c r="E372" s="17">
        <f>IF(D372="","",IFERROR(VLOOKUP(D372,Catálogo!$A:$D,2,FALSE),"Código não está no Catálogo"))</f>
        <v/>
      </c>
      <c r="F372" s="17">
        <f>IF(D372="","",IFERROR(VLOOKUP(D372,Catálogo!$A:$D,4,FALSE),""))</f>
        <v/>
      </c>
      <c r="G372" s="17" t="n"/>
      <c r="H372" s="17">
        <f>IF(D372="",0,IF(COUNTIFS($A$2:A372,A372,$D$2:D372,D372)=1,1,0))</f>
        <v/>
      </c>
      <c r="I372" s="17" t="n"/>
      <c r="J372" s="17" t="n"/>
      <c r="K372" s="18" t="n"/>
      <c r="L372" s="17" t="n"/>
      <c r="M372">
        <f>IF(AND(B372&lt;&gt;"",B372='Por empresa'!$B$2),COUNTIF($B$2:B372,'Por empresa'!$B$2),"")</f>
        <v/>
      </c>
    </row>
    <row r="373">
      <c r="A373" s="17" t="n"/>
      <c r="B373" s="17">
        <f>IF(A373="","",IFERROR(VLOOKUP(A373,Notificações!$A:$B,2,FALSE),"ID não encontrado"))</f>
        <v/>
      </c>
      <c r="C373" s="17" t="n"/>
      <c r="D373" s="17" t="n"/>
      <c r="E373" s="17">
        <f>IF(D373="","",IFERROR(VLOOKUP(D373,Catálogo!$A:$D,2,FALSE),"Código não está no Catálogo"))</f>
        <v/>
      </c>
      <c r="F373" s="17">
        <f>IF(D373="","",IFERROR(VLOOKUP(D373,Catálogo!$A:$D,4,FALSE),""))</f>
        <v/>
      </c>
      <c r="G373" s="17" t="n"/>
      <c r="H373" s="17">
        <f>IF(D373="",0,IF(COUNTIFS($A$2:A373,A373,$D$2:D373,D373)=1,1,0))</f>
        <v/>
      </c>
      <c r="I373" s="17" t="n"/>
      <c r="J373" s="17" t="n"/>
      <c r="K373" s="18" t="n"/>
      <c r="L373" s="17" t="n"/>
      <c r="M373">
        <f>IF(AND(B373&lt;&gt;"",B373='Por empresa'!$B$2),COUNTIF($B$2:B373,'Por empresa'!$B$2),"")</f>
        <v/>
      </c>
    </row>
    <row r="374">
      <c r="A374" s="17" t="n"/>
      <c r="B374" s="17">
        <f>IF(A374="","",IFERROR(VLOOKUP(A374,Notificações!$A:$B,2,FALSE),"ID não encontrado"))</f>
        <v/>
      </c>
      <c r="C374" s="17" t="n"/>
      <c r="D374" s="17" t="n"/>
      <c r="E374" s="17">
        <f>IF(D374="","",IFERROR(VLOOKUP(D374,Catálogo!$A:$D,2,FALSE),"Código não está no Catálogo"))</f>
        <v/>
      </c>
      <c r="F374" s="17">
        <f>IF(D374="","",IFERROR(VLOOKUP(D374,Catálogo!$A:$D,4,FALSE),""))</f>
        <v/>
      </c>
      <c r="G374" s="17" t="n"/>
      <c r="H374" s="17">
        <f>IF(D374="",0,IF(COUNTIFS($A$2:A374,A374,$D$2:D374,D374)=1,1,0))</f>
        <v/>
      </c>
      <c r="I374" s="17" t="n"/>
      <c r="J374" s="17" t="n"/>
      <c r="K374" s="18" t="n"/>
      <c r="L374" s="17" t="n"/>
      <c r="M374">
        <f>IF(AND(B374&lt;&gt;"",B374='Por empresa'!$B$2),COUNTIF($B$2:B374,'Por empresa'!$B$2),"")</f>
        <v/>
      </c>
    </row>
    <row r="375">
      <c r="A375" s="17" t="n"/>
      <c r="B375" s="17">
        <f>IF(A375="","",IFERROR(VLOOKUP(A375,Notificações!$A:$B,2,FALSE),"ID não encontrado"))</f>
        <v/>
      </c>
      <c r="C375" s="17" t="n"/>
      <c r="D375" s="17" t="n"/>
      <c r="E375" s="17">
        <f>IF(D375="","",IFERROR(VLOOKUP(D375,Catálogo!$A:$D,2,FALSE),"Código não está no Catálogo"))</f>
        <v/>
      </c>
      <c r="F375" s="17">
        <f>IF(D375="","",IFERROR(VLOOKUP(D375,Catálogo!$A:$D,4,FALSE),""))</f>
        <v/>
      </c>
      <c r="G375" s="17" t="n"/>
      <c r="H375" s="17">
        <f>IF(D375="",0,IF(COUNTIFS($A$2:A375,A375,$D$2:D375,D375)=1,1,0))</f>
        <v/>
      </c>
      <c r="I375" s="17" t="n"/>
      <c r="J375" s="17" t="n"/>
      <c r="K375" s="18" t="n"/>
      <c r="L375" s="17" t="n"/>
      <c r="M375">
        <f>IF(AND(B375&lt;&gt;"",B375='Por empresa'!$B$2),COUNTIF($B$2:B375,'Por empresa'!$B$2),"")</f>
        <v/>
      </c>
    </row>
    <row r="376">
      <c r="A376" s="17" t="n"/>
      <c r="B376" s="17">
        <f>IF(A376="","",IFERROR(VLOOKUP(A376,Notificações!$A:$B,2,FALSE),"ID não encontrado"))</f>
        <v/>
      </c>
      <c r="C376" s="17" t="n"/>
      <c r="D376" s="17" t="n"/>
      <c r="E376" s="17">
        <f>IF(D376="","",IFERROR(VLOOKUP(D376,Catálogo!$A:$D,2,FALSE),"Código não está no Catálogo"))</f>
        <v/>
      </c>
      <c r="F376" s="17">
        <f>IF(D376="","",IFERROR(VLOOKUP(D376,Catálogo!$A:$D,4,FALSE),""))</f>
        <v/>
      </c>
      <c r="G376" s="17" t="n"/>
      <c r="H376" s="17">
        <f>IF(D376="",0,IF(COUNTIFS($A$2:A376,A376,$D$2:D376,D376)=1,1,0))</f>
        <v/>
      </c>
      <c r="I376" s="17" t="n"/>
      <c r="J376" s="17" t="n"/>
      <c r="K376" s="18" t="n"/>
      <c r="L376" s="17" t="n"/>
      <c r="M376">
        <f>IF(AND(B376&lt;&gt;"",B376='Por empresa'!$B$2),COUNTIF($B$2:B376,'Por empresa'!$B$2),"")</f>
        <v/>
      </c>
    </row>
    <row r="377">
      <c r="A377" s="17" t="n"/>
      <c r="B377" s="17">
        <f>IF(A377="","",IFERROR(VLOOKUP(A377,Notificações!$A:$B,2,FALSE),"ID não encontrado"))</f>
        <v/>
      </c>
      <c r="C377" s="17" t="n"/>
      <c r="D377" s="17" t="n"/>
      <c r="E377" s="17">
        <f>IF(D377="","",IFERROR(VLOOKUP(D377,Catálogo!$A:$D,2,FALSE),"Código não está no Catálogo"))</f>
        <v/>
      </c>
      <c r="F377" s="17">
        <f>IF(D377="","",IFERROR(VLOOKUP(D377,Catálogo!$A:$D,4,FALSE),""))</f>
        <v/>
      </c>
      <c r="G377" s="17" t="n"/>
      <c r="H377" s="17">
        <f>IF(D377="",0,IF(COUNTIFS($A$2:A377,A377,$D$2:D377,D377)=1,1,0))</f>
        <v/>
      </c>
      <c r="I377" s="17" t="n"/>
      <c r="J377" s="17" t="n"/>
      <c r="K377" s="18" t="n"/>
      <c r="L377" s="17" t="n"/>
      <c r="M377">
        <f>IF(AND(B377&lt;&gt;"",B377='Por empresa'!$B$2),COUNTIF($B$2:B377,'Por empresa'!$B$2),"")</f>
        <v/>
      </c>
    </row>
    <row r="378">
      <c r="A378" s="17" t="n"/>
      <c r="B378" s="17">
        <f>IF(A378="","",IFERROR(VLOOKUP(A378,Notificações!$A:$B,2,FALSE),"ID não encontrado"))</f>
        <v/>
      </c>
      <c r="C378" s="17" t="n"/>
      <c r="D378" s="17" t="n"/>
      <c r="E378" s="17">
        <f>IF(D378="","",IFERROR(VLOOKUP(D378,Catálogo!$A:$D,2,FALSE),"Código não está no Catálogo"))</f>
        <v/>
      </c>
      <c r="F378" s="17">
        <f>IF(D378="","",IFERROR(VLOOKUP(D378,Catálogo!$A:$D,4,FALSE),""))</f>
        <v/>
      </c>
      <c r="G378" s="17" t="n"/>
      <c r="H378" s="17">
        <f>IF(D378="",0,IF(COUNTIFS($A$2:A378,A378,$D$2:D378,D378)=1,1,0))</f>
        <v/>
      </c>
      <c r="I378" s="17" t="n"/>
      <c r="J378" s="17" t="n"/>
      <c r="K378" s="18" t="n"/>
      <c r="L378" s="17" t="n"/>
      <c r="M378">
        <f>IF(AND(B378&lt;&gt;"",B378='Por empresa'!$B$2),COUNTIF($B$2:B378,'Por empresa'!$B$2),"")</f>
        <v/>
      </c>
    </row>
    <row r="379">
      <c r="A379" s="17" t="n"/>
      <c r="B379" s="17">
        <f>IF(A379="","",IFERROR(VLOOKUP(A379,Notificações!$A:$B,2,FALSE),"ID não encontrado"))</f>
        <v/>
      </c>
      <c r="C379" s="17" t="n"/>
      <c r="D379" s="17" t="n"/>
      <c r="E379" s="17">
        <f>IF(D379="","",IFERROR(VLOOKUP(D379,Catálogo!$A:$D,2,FALSE),"Código não está no Catálogo"))</f>
        <v/>
      </c>
      <c r="F379" s="17">
        <f>IF(D379="","",IFERROR(VLOOKUP(D379,Catálogo!$A:$D,4,FALSE),""))</f>
        <v/>
      </c>
      <c r="G379" s="17" t="n"/>
      <c r="H379" s="17">
        <f>IF(D379="",0,IF(COUNTIFS($A$2:A379,A379,$D$2:D379,D379)=1,1,0))</f>
        <v/>
      </c>
      <c r="I379" s="17" t="n"/>
      <c r="J379" s="17" t="n"/>
      <c r="K379" s="18" t="n"/>
      <c r="L379" s="17" t="n"/>
      <c r="M379">
        <f>IF(AND(B379&lt;&gt;"",B379='Por empresa'!$B$2),COUNTIF($B$2:B379,'Por empresa'!$B$2),"")</f>
        <v/>
      </c>
    </row>
    <row r="380">
      <c r="A380" s="17" t="n"/>
      <c r="B380" s="17">
        <f>IF(A380="","",IFERROR(VLOOKUP(A380,Notificações!$A:$B,2,FALSE),"ID não encontrado"))</f>
        <v/>
      </c>
      <c r="C380" s="17" t="n"/>
      <c r="D380" s="17" t="n"/>
      <c r="E380" s="17">
        <f>IF(D380="","",IFERROR(VLOOKUP(D380,Catálogo!$A:$D,2,FALSE),"Código não está no Catálogo"))</f>
        <v/>
      </c>
      <c r="F380" s="17">
        <f>IF(D380="","",IFERROR(VLOOKUP(D380,Catálogo!$A:$D,4,FALSE),""))</f>
        <v/>
      </c>
      <c r="G380" s="17" t="n"/>
      <c r="H380" s="17">
        <f>IF(D380="",0,IF(COUNTIFS($A$2:A380,A380,$D$2:D380,D380)=1,1,0))</f>
        <v/>
      </c>
      <c r="I380" s="17" t="n"/>
      <c r="J380" s="17" t="n"/>
      <c r="K380" s="18" t="n"/>
      <c r="L380" s="17" t="n"/>
      <c r="M380">
        <f>IF(AND(B380&lt;&gt;"",B380='Por empresa'!$B$2),COUNTIF($B$2:B380,'Por empresa'!$B$2),"")</f>
        <v/>
      </c>
    </row>
    <row r="381">
      <c r="A381" s="17" t="n"/>
      <c r="B381" s="17">
        <f>IF(A381="","",IFERROR(VLOOKUP(A381,Notificações!$A:$B,2,FALSE),"ID não encontrado"))</f>
        <v/>
      </c>
      <c r="C381" s="17" t="n"/>
      <c r="D381" s="17" t="n"/>
      <c r="E381" s="17">
        <f>IF(D381="","",IFERROR(VLOOKUP(D381,Catálogo!$A:$D,2,FALSE),"Código não está no Catálogo"))</f>
        <v/>
      </c>
      <c r="F381" s="17">
        <f>IF(D381="","",IFERROR(VLOOKUP(D381,Catálogo!$A:$D,4,FALSE),""))</f>
        <v/>
      </c>
      <c r="G381" s="17" t="n"/>
      <c r="H381" s="17">
        <f>IF(D381="",0,IF(COUNTIFS($A$2:A381,A381,$D$2:D381,D381)=1,1,0))</f>
        <v/>
      </c>
      <c r="I381" s="17" t="n"/>
      <c r="J381" s="17" t="n"/>
      <c r="K381" s="18" t="n"/>
      <c r="L381" s="17" t="n"/>
      <c r="M381">
        <f>IF(AND(B381&lt;&gt;"",B381='Por empresa'!$B$2),COUNTIF($B$2:B381,'Por empresa'!$B$2),"")</f>
        <v/>
      </c>
    </row>
    <row r="382">
      <c r="A382" s="17" t="n"/>
      <c r="B382" s="17">
        <f>IF(A382="","",IFERROR(VLOOKUP(A382,Notificações!$A:$B,2,FALSE),"ID não encontrado"))</f>
        <v/>
      </c>
      <c r="C382" s="17" t="n"/>
      <c r="D382" s="17" t="n"/>
      <c r="E382" s="17">
        <f>IF(D382="","",IFERROR(VLOOKUP(D382,Catálogo!$A:$D,2,FALSE),"Código não está no Catálogo"))</f>
        <v/>
      </c>
      <c r="F382" s="17">
        <f>IF(D382="","",IFERROR(VLOOKUP(D382,Catálogo!$A:$D,4,FALSE),""))</f>
        <v/>
      </c>
      <c r="G382" s="17" t="n"/>
      <c r="H382" s="17">
        <f>IF(D382="",0,IF(COUNTIFS($A$2:A382,A382,$D$2:D382,D382)=1,1,0))</f>
        <v/>
      </c>
      <c r="I382" s="17" t="n"/>
      <c r="J382" s="17" t="n"/>
      <c r="K382" s="18" t="n"/>
      <c r="L382" s="17" t="n"/>
      <c r="M382">
        <f>IF(AND(B382&lt;&gt;"",B382='Por empresa'!$B$2),COUNTIF($B$2:B382,'Por empresa'!$B$2),"")</f>
        <v/>
      </c>
    </row>
    <row r="383">
      <c r="A383" s="17" t="n"/>
      <c r="B383" s="17">
        <f>IF(A383="","",IFERROR(VLOOKUP(A383,Notificações!$A:$B,2,FALSE),"ID não encontrado"))</f>
        <v/>
      </c>
      <c r="C383" s="17" t="n"/>
      <c r="D383" s="17" t="n"/>
      <c r="E383" s="17">
        <f>IF(D383="","",IFERROR(VLOOKUP(D383,Catálogo!$A:$D,2,FALSE),"Código não está no Catálogo"))</f>
        <v/>
      </c>
      <c r="F383" s="17">
        <f>IF(D383="","",IFERROR(VLOOKUP(D383,Catálogo!$A:$D,4,FALSE),""))</f>
        <v/>
      </c>
      <c r="G383" s="17" t="n"/>
      <c r="H383" s="17">
        <f>IF(D383="",0,IF(COUNTIFS($A$2:A383,A383,$D$2:D383,D383)=1,1,0))</f>
        <v/>
      </c>
      <c r="I383" s="17" t="n"/>
      <c r="J383" s="17" t="n"/>
      <c r="K383" s="18" t="n"/>
      <c r="L383" s="17" t="n"/>
      <c r="M383">
        <f>IF(AND(B383&lt;&gt;"",B383='Por empresa'!$B$2),COUNTIF($B$2:B383,'Por empresa'!$B$2),"")</f>
        <v/>
      </c>
    </row>
    <row r="384">
      <c r="A384" s="17" t="n"/>
      <c r="B384" s="17">
        <f>IF(A384="","",IFERROR(VLOOKUP(A384,Notificações!$A:$B,2,FALSE),"ID não encontrado"))</f>
        <v/>
      </c>
      <c r="C384" s="17" t="n"/>
      <c r="D384" s="17" t="n"/>
      <c r="E384" s="17">
        <f>IF(D384="","",IFERROR(VLOOKUP(D384,Catálogo!$A:$D,2,FALSE),"Código não está no Catálogo"))</f>
        <v/>
      </c>
      <c r="F384" s="17">
        <f>IF(D384="","",IFERROR(VLOOKUP(D384,Catálogo!$A:$D,4,FALSE),""))</f>
        <v/>
      </c>
      <c r="G384" s="17" t="n"/>
      <c r="H384" s="17">
        <f>IF(D384="",0,IF(COUNTIFS($A$2:A384,A384,$D$2:D384,D384)=1,1,0))</f>
        <v/>
      </c>
      <c r="I384" s="17" t="n"/>
      <c r="J384" s="17" t="n"/>
      <c r="K384" s="18" t="n"/>
      <c r="L384" s="17" t="n"/>
      <c r="M384">
        <f>IF(AND(B384&lt;&gt;"",B384='Por empresa'!$B$2),COUNTIF($B$2:B384,'Por empresa'!$B$2),"")</f>
        <v/>
      </c>
    </row>
    <row r="385">
      <c r="A385" s="17" t="n"/>
      <c r="B385" s="17">
        <f>IF(A385="","",IFERROR(VLOOKUP(A385,Notificações!$A:$B,2,FALSE),"ID não encontrado"))</f>
        <v/>
      </c>
      <c r="C385" s="17" t="n"/>
      <c r="D385" s="17" t="n"/>
      <c r="E385" s="17">
        <f>IF(D385="","",IFERROR(VLOOKUP(D385,Catálogo!$A:$D,2,FALSE),"Código não está no Catálogo"))</f>
        <v/>
      </c>
      <c r="F385" s="17">
        <f>IF(D385="","",IFERROR(VLOOKUP(D385,Catálogo!$A:$D,4,FALSE),""))</f>
        <v/>
      </c>
      <c r="G385" s="17" t="n"/>
      <c r="H385" s="17">
        <f>IF(D385="",0,IF(COUNTIFS($A$2:A385,A385,$D$2:D385,D385)=1,1,0))</f>
        <v/>
      </c>
      <c r="I385" s="17" t="n"/>
      <c r="J385" s="17" t="n"/>
      <c r="K385" s="18" t="n"/>
      <c r="L385" s="17" t="n"/>
      <c r="M385">
        <f>IF(AND(B385&lt;&gt;"",B385='Por empresa'!$B$2),COUNTIF($B$2:B385,'Por empresa'!$B$2),"")</f>
        <v/>
      </c>
    </row>
    <row r="386">
      <c r="A386" s="17" t="n"/>
      <c r="B386" s="17">
        <f>IF(A386="","",IFERROR(VLOOKUP(A386,Notificações!$A:$B,2,FALSE),"ID não encontrado"))</f>
        <v/>
      </c>
      <c r="C386" s="17" t="n"/>
      <c r="D386" s="17" t="n"/>
      <c r="E386" s="17">
        <f>IF(D386="","",IFERROR(VLOOKUP(D386,Catálogo!$A:$D,2,FALSE),"Código não está no Catálogo"))</f>
        <v/>
      </c>
      <c r="F386" s="17">
        <f>IF(D386="","",IFERROR(VLOOKUP(D386,Catálogo!$A:$D,4,FALSE),""))</f>
        <v/>
      </c>
      <c r="G386" s="17" t="n"/>
      <c r="H386" s="17">
        <f>IF(D386="",0,IF(COUNTIFS($A$2:A386,A386,$D$2:D386,D386)=1,1,0))</f>
        <v/>
      </c>
      <c r="I386" s="17" t="n"/>
      <c r="J386" s="17" t="n"/>
      <c r="K386" s="18" t="n"/>
      <c r="L386" s="17" t="n"/>
      <c r="M386">
        <f>IF(AND(B386&lt;&gt;"",B386='Por empresa'!$B$2),COUNTIF($B$2:B386,'Por empresa'!$B$2),"")</f>
        <v/>
      </c>
    </row>
    <row r="387">
      <c r="A387" s="17" t="n"/>
      <c r="B387" s="17">
        <f>IF(A387="","",IFERROR(VLOOKUP(A387,Notificações!$A:$B,2,FALSE),"ID não encontrado"))</f>
        <v/>
      </c>
      <c r="C387" s="17" t="n"/>
      <c r="D387" s="17" t="n"/>
      <c r="E387" s="17">
        <f>IF(D387="","",IFERROR(VLOOKUP(D387,Catálogo!$A:$D,2,FALSE),"Código não está no Catálogo"))</f>
        <v/>
      </c>
      <c r="F387" s="17">
        <f>IF(D387="","",IFERROR(VLOOKUP(D387,Catálogo!$A:$D,4,FALSE),""))</f>
        <v/>
      </c>
      <c r="G387" s="17" t="n"/>
      <c r="H387" s="17">
        <f>IF(D387="",0,IF(COUNTIFS($A$2:A387,A387,$D$2:D387,D387)=1,1,0))</f>
        <v/>
      </c>
      <c r="I387" s="17" t="n"/>
      <c r="J387" s="17" t="n"/>
      <c r="K387" s="18" t="n"/>
      <c r="L387" s="17" t="n"/>
      <c r="M387">
        <f>IF(AND(B387&lt;&gt;"",B387='Por empresa'!$B$2),COUNTIF($B$2:B387,'Por empresa'!$B$2),"")</f>
        <v/>
      </c>
    </row>
    <row r="388">
      <c r="A388" s="17" t="n"/>
      <c r="B388" s="17">
        <f>IF(A388="","",IFERROR(VLOOKUP(A388,Notificações!$A:$B,2,FALSE),"ID não encontrado"))</f>
        <v/>
      </c>
      <c r="C388" s="17" t="n"/>
      <c r="D388" s="17" t="n"/>
      <c r="E388" s="17">
        <f>IF(D388="","",IFERROR(VLOOKUP(D388,Catálogo!$A:$D,2,FALSE),"Código não está no Catálogo"))</f>
        <v/>
      </c>
      <c r="F388" s="17">
        <f>IF(D388="","",IFERROR(VLOOKUP(D388,Catálogo!$A:$D,4,FALSE),""))</f>
        <v/>
      </c>
      <c r="G388" s="17" t="n"/>
      <c r="H388" s="17">
        <f>IF(D388="",0,IF(COUNTIFS($A$2:A388,A388,$D$2:D388,D388)=1,1,0))</f>
        <v/>
      </c>
      <c r="I388" s="17" t="n"/>
      <c r="J388" s="17" t="n"/>
      <c r="K388" s="18" t="n"/>
      <c r="L388" s="17" t="n"/>
      <c r="M388">
        <f>IF(AND(B388&lt;&gt;"",B388='Por empresa'!$B$2),COUNTIF($B$2:B388,'Por empresa'!$B$2),"")</f>
        <v/>
      </c>
    </row>
    <row r="389">
      <c r="A389" s="17" t="n"/>
      <c r="B389" s="17">
        <f>IF(A389="","",IFERROR(VLOOKUP(A389,Notificações!$A:$B,2,FALSE),"ID não encontrado"))</f>
        <v/>
      </c>
      <c r="C389" s="17" t="n"/>
      <c r="D389" s="17" t="n"/>
      <c r="E389" s="17">
        <f>IF(D389="","",IFERROR(VLOOKUP(D389,Catálogo!$A:$D,2,FALSE),"Código não está no Catálogo"))</f>
        <v/>
      </c>
      <c r="F389" s="17">
        <f>IF(D389="","",IFERROR(VLOOKUP(D389,Catálogo!$A:$D,4,FALSE),""))</f>
        <v/>
      </c>
      <c r="G389" s="17" t="n"/>
      <c r="H389" s="17">
        <f>IF(D389="",0,IF(COUNTIFS($A$2:A389,A389,$D$2:D389,D389)=1,1,0))</f>
        <v/>
      </c>
      <c r="I389" s="17" t="n"/>
      <c r="J389" s="17" t="n"/>
      <c r="K389" s="18" t="n"/>
      <c r="L389" s="17" t="n"/>
      <c r="M389">
        <f>IF(AND(B389&lt;&gt;"",B389='Por empresa'!$B$2),COUNTIF($B$2:B389,'Por empresa'!$B$2),"")</f>
        <v/>
      </c>
    </row>
    <row r="390">
      <c r="A390" s="17" t="n"/>
      <c r="B390" s="17">
        <f>IF(A390="","",IFERROR(VLOOKUP(A390,Notificações!$A:$B,2,FALSE),"ID não encontrado"))</f>
        <v/>
      </c>
      <c r="C390" s="17" t="n"/>
      <c r="D390" s="17" t="n"/>
      <c r="E390" s="17">
        <f>IF(D390="","",IFERROR(VLOOKUP(D390,Catálogo!$A:$D,2,FALSE),"Código não está no Catálogo"))</f>
        <v/>
      </c>
      <c r="F390" s="17">
        <f>IF(D390="","",IFERROR(VLOOKUP(D390,Catálogo!$A:$D,4,FALSE),""))</f>
        <v/>
      </c>
      <c r="G390" s="17" t="n"/>
      <c r="H390" s="17">
        <f>IF(D390="",0,IF(COUNTIFS($A$2:A390,A390,$D$2:D390,D390)=1,1,0))</f>
        <v/>
      </c>
      <c r="I390" s="17" t="n"/>
      <c r="J390" s="17" t="n"/>
      <c r="K390" s="18" t="n"/>
      <c r="L390" s="17" t="n"/>
      <c r="M390">
        <f>IF(AND(B390&lt;&gt;"",B390='Por empresa'!$B$2),COUNTIF($B$2:B390,'Por empresa'!$B$2),"")</f>
        <v/>
      </c>
    </row>
    <row r="391">
      <c r="A391" s="17" t="n"/>
      <c r="B391" s="17">
        <f>IF(A391="","",IFERROR(VLOOKUP(A391,Notificações!$A:$B,2,FALSE),"ID não encontrado"))</f>
        <v/>
      </c>
      <c r="C391" s="17" t="n"/>
      <c r="D391" s="17" t="n"/>
      <c r="E391" s="17">
        <f>IF(D391="","",IFERROR(VLOOKUP(D391,Catálogo!$A:$D,2,FALSE),"Código não está no Catálogo"))</f>
        <v/>
      </c>
      <c r="F391" s="17">
        <f>IF(D391="","",IFERROR(VLOOKUP(D391,Catálogo!$A:$D,4,FALSE),""))</f>
        <v/>
      </c>
      <c r="G391" s="17" t="n"/>
      <c r="H391" s="17">
        <f>IF(D391="",0,IF(COUNTIFS($A$2:A391,A391,$D$2:D391,D391)=1,1,0))</f>
        <v/>
      </c>
      <c r="I391" s="17" t="n"/>
      <c r="J391" s="17" t="n"/>
      <c r="K391" s="18" t="n"/>
      <c r="L391" s="17" t="n"/>
      <c r="M391">
        <f>IF(AND(B391&lt;&gt;"",B391='Por empresa'!$B$2),COUNTIF($B$2:B391,'Por empresa'!$B$2),"")</f>
        <v/>
      </c>
    </row>
    <row r="392">
      <c r="A392" s="17" t="n"/>
      <c r="B392" s="17">
        <f>IF(A392="","",IFERROR(VLOOKUP(A392,Notificações!$A:$B,2,FALSE),"ID não encontrado"))</f>
        <v/>
      </c>
      <c r="C392" s="17" t="n"/>
      <c r="D392" s="17" t="n"/>
      <c r="E392" s="17">
        <f>IF(D392="","",IFERROR(VLOOKUP(D392,Catálogo!$A:$D,2,FALSE),"Código não está no Catálogo"))</f>
        <v/>
      </c>
      <c r="F392" s="17">
        <f>IF(D392="","",IFERROR(VLOOKUP(D392,Catálogo!$A:$D,4,FALSE),""))</f>
        <v/>
      </c>
      <c r="G392" s="17" t="n"/>
      <c r="H392" s="17">
        <f>IF(D392="",0,IF(COUNTIFS($A$2:A392,A392,$D$2:D392,D392)=1,1,0))</f>
        <v/>
      </c>
      <c r="I392" s="17" t="n"/>
      <c r="J392" s="17" t="n"/>
      <c r="K392" s="18" t="n"/>
      <c r="L392" s="17" t="n"/>
      <c r="M392">
        <f>IF(AND(B392&lt;&gt;"",B392='Por empresa'!$B$2),COUNTIF($B$2:B392,'Por empresa'!$B$2),"")</f>
        <v/>
      </c>
    </row>
    <row r="393">
      <c r="A393" s="17" t="n"/>
      <c r="B393" s="17">
        <f>IF(A393="","",IFERROR(VLOOKUP(A393,Notificações!$A:$B,2,FALSE),"ID não encontrado"))</f>
        <v/>
      </c>
      <c r="C393" s="17" t="n"/>
      <c r="D393" s="17" t="n"/>
      <c r="E393" s="17">
        <f>IF(D393="","",IFERROR(VLOOKUP(D393,Catálogo!$A:$D,2,FALSE),"Código não está no Catálogo"))</f>
        <v/>
      </c>
      <c r="F393" s="17">
        <f>IF(D393="","",IFERROR(VLOOKUP(D393,Catálogo!$A:$D,4,FALSE),""))</f>
        <v/>
      </c>
      <c r="G393" s="17" t="n"/>
      <c r="H393" s="17">
        <f>IF(D393="",0,IF(COUNTIFS($A$2:A393,A393,$D$2:D393,D393)=1,1,0))</f>
        <v/>
      </c>
      <c r="I393" s="17" t="n"/>
      <c r="J393" s="17" t="n"/>
      <c r="K393" s="18" t="n"/>
      <c r="L393" s="17" t="n"/>
      <c r="M393">
        <f>IF(AND(B393&lt;&gt;"",B393='Por empresa'!$B$2),COUNTIF($B$2:B393,'Por empresa'!$B$2),"")</f>
        <v/>
      </c>
    </row>
    <row r="394">
      <c r="A394" s="17" t="n"/>
      <c r="B394" s="17">
        <f>IF(A394="","",IFERROR(VLOOKUP(A394,Notificações!$A:$B,2,FALSE),"ID não encontrado"))</f>
        <v/>
      </c>
      <c r="C394" s="17" t="n"/>
      <c r="D394" s="17" t="n"/>
      <c r="E394" s="17">
        <f>IF(D394="","",IFERROR(VLOOKUP(D394,Catálogo!$A:$D,2,FALSE),"Código não está no Catálogo"))</f>
        <v/>
      </c>
      <c r="F394" s="17">
        <f>IF(D394="","",IFERROR(VLOOKUP(D394,Catálogo!$A:$D,4,FALSE),""))</f>
        <v/>
      </c>
      <c r="G394" s="17" t="n"/>
      <c r="H394" s="17">
        <f>IF(D394="",0,IF(COUNTIFS($A$2:A394,A394,$D$2:D394,D394)=1,1,0))</f>
        <v/>
      </c>
      <c r="I394" s="17" t="n"/>
      <c r="J394" s="17" t="n"/>
      <c r="K394" s="18" t="n"/>
      <c r="L394" s="17" t="n"/>
      <c r="M394">
        <f>IF(AND(B394&lt;&gt;"",B394='Por empresa'!$B$2),COUNTIF($B$2:B394,'Por empresa'!$B$2),"")</f>
        <v/>
      </c>
    </row>
    <row r="395">
      <c r="A395" s="17" t="n"/>
      <c r="B395" s="17">
        <f>IF(A395="","",IFERROR(VLOOKUP(A395,Notificações!$A:$B,2,FALSE),"ID não encontrado"))</f>
        <v/>
      </c>
      <c r="C395" s="17" t="n"/>
      <c r="D395" s="17" t="n"/>
      <c r="E395" s="17">
        <f>IF(D395="","",IFERROR(VLOOKUP(D395,Catálogo!$A:$D,2,FALSE),"Código não está no Catálogo"))</f>
        <v/>
      </c>
      <c r="F395" s="17">
        <f>IF(D395="","",IFERROR(VLOOKUP(D395,Catálogo!$A:$D,4,FALSE),""))</f>
        <v/>
      </c>
      <c r="G395" s="17" t="n"/>
      <c r="H395" s="17">
        <f>IF(D395="",0,IF(COUNTIFS($A$2:A395,A395,$D$2:D395,D395)=1,1,0))</f>
        <v/>
      </c>
      <c r="I395" s="17" t="n"/>
      <c r="J395" s="17" t="n"/>
      <c r="K395" s="18" t="n"/>
      <c r="L395" s="17" t="n"/>
      <c r="M395">
        <f>IF(AND(B395&lt;&gt;"",B395='Por empresa'!$B$2),COUNTIF($B$2:B395,'Por empresa'!$B$2),"")</f>
        <v/>
      </c>
    </row>
    <row r="396">
      <c r="A396" s="17" t="n"/>
      <c r="B396" s="17">
        <f>IF(A396="","",IFERROR(VLOOKUP(A396,Notificações!$A:$B,2,FALSE),"ID não encontrado"))</f>
        <v/>
      </c>
      <c r="C396" s="17" t="n"/>
      <c r="D396" s="17" t="n"/>
      <c r="E396" s="17">
        <f>IF(D396="","",IFERROR(VLOOKUP(D396,Catálogo!$A:$D,2,FALSE),"Código não está no Catálogo"))</f>
        <v/>
      </c>
      <c r="F396" s="17">
        <f>IF(D396="","",IFERROR(VLOOKUP(D396,Catálogo!$A:$D,4,FALSE),""))</f>
        <v/>
      </c>
      <c r="G396" s="17" t="n"/>
      <c r="H396" s="17">
        <f>IF(D396="",0,IF(COUNTIFS($A$2:A396,A396,$D$2:D396,D396)=1,1,0))</f>
        <v/>
      </c>
      <c r="I396" s="17" t="n"/>
      <c r="J396" s="17" t="n"/>
      <c r="K396" s="18" t="n"/>
      <c r="L396" s="17" t="n"/>
      <c r="M396">
        <f>IF(AND(B396&lt;&gt;"",B396='Por empresa'!$B$2),COUNTIF($B$2:B396,'Por empresa'!$B$2),"")</f>
        <v/>
      </c>
    </row>
    <row r="397">
      <c r="A397" s="17" t="n"/>
      <c r="B397" s="17">
        <f>IF(A397="","",IFERROR(VLOOKUP(A397,Notificações!$A:$B,2,FALSE),"ID não encontrado"))</f>
        <v/>
      </c>
      <c r="C397" s="17" t="n"/>
      <c r="D397" s="17" t="n"/>
      <c r="E397" s="17">
        <f>IF(D397="","",IFERROR(VLOOKUP(D397,Catálogo!$A:$D,2,FALSE),"Código não está no Catálogo"))</f>
        <v/>
      </c>
      <c r="F397" s="17">
        <f>IF(D397="","",IFERROR(VLOOKUP(D397,Catálogo!$A:$D,4,FALSE),""))</f>
        <v/>
      </c>
      <c r="G397" s="17" t="n"/>
      <c r="H397" s="17">
        <f>IF(D397="",0,IF(COUNTIFS($A$2:A397,A397,$D$2:D397,D397)=1,1,0))</f>
        <v/>
      </c>
      <c r="I397" s="17" t="n"/>
      <c r="J397" s="17" t="n"/>
      <c r="K397" s="18" t="n"/>
      <c r="L397" s="17" t="n"/>
      <c r="M397">
        <f>IF(AND(B397&lt;&gt;"",B397='Por empresa'!$B$2),COUNTIF($B$2:B397,'Por empresa'!$B$2),"")</f>
        <v/>
      </c>
    </row>
    <row r="398">
      <c r="A398" s="17" t="n"/>
      <c r="B398" s="17">
        <f>IF(A398="","",IFERROR(VLOOKUP(A398,Notificações!$A:$B,2,FALSE),"ID não encontrado"))</f>
        <v/>
      </c>
      <c r="C398" s="17" t="n"/>
      <c r="D398" s="17" t="n"/>
      <c r="E398" s="17">
        <f>IF(D398="","",IFERROR(VLOOKUP(D398,Catálogo!$A:$D,2,FALSE),"Código não está no Catálogo"))</f>
        <v/>
      </c>
      <c r="F398" s="17">
        <f>IF(D398="","",IFERROR(VLOOKUP(D398,Catálogo!$A:$D,4,FALSE),""))</f>
        <v/>
      </c>
      <c r="G398" s="17" t="n"/>
      <c r="H398" s="17">
        <f>IF(D398="",0,IF(COUNTIFS($A$2:A398,A398,$D$2:D398,D398)=1,1,0))</f>
        <v/>
      </c>
      <c r="I398" s="17" t="n"/>
      <c r="J398" s="17" t="n"/>
      <c r="K398" s="18" t="n"/>
      <c r="L398" s="17" t="n"/>
      <c r="M398">
        <f>IF(AND(B398&lt;&gt;"",B398='Por empresa'!$B$2),COUNTIF($B$2:B398,'Por empresa'!$B$2),"")</f>
        <v/>
      </c>
    </row>
    <row r="399">
      <c r="A399" s="17" t="n"/>
      <c r="B399" s="17">
        <f>IF(A399="","",IFERROR(VLOOKUP(A399,Notificações!$A:$B,2,FALSE),"ID não encontrado"))</f>
        <v/>
      </c>
      <c r="C399" s="17" t="n"/>
      <c r="D399" s="17" t="n"/>
      <c r="E399" s="17">
        <f>IF(D399="","",IFERROR(VLOOKUP(D399,Catálogo!$A:$D,2,FALSE),"Código não está no Catálogo"))</f>
        <v/>
      </c>
      <c r="F399" s="17">
        <f>IF(D399="","",IFERROR(VLOOKUP(D399,Catálogo!$A:$D,4,FALSE),""))</f>
        <v/>
      </c>
      <c r="G399" s="17" t="n"/>
      <c r="H399" s="17">
        <f>IF(D399="",0,IF(COUNTIFS($A$2:A399,A399,$D$2:D399,D399)=1,1,0))</f>
        <v/>
      </c>
      <c r="I399" s="17" t="n"/>
      <c r="J399" s="17" t="n"/>
      <c r="K399" s="18" t="n"/>
      <c r="L399" s="17" t="n"/>
      <c r="M399">
        <f>IF(AND(B399&lt;&gt;"",B399='Por empresa'!$B$2),COUNTIF($B$2:B399,'Por empresa'!$B$2),"")</f>
        <v/>
      </c>
    </row>
    <row r="400">
      <c r="A400" s="17" t="n"/>
      <c r="B400" s="17">
        <f>IF(A400="","",IFERROR(VLOOKUP(A400,Notificações!$A:$B,2,FALSE),"ID não encontrado"))</f>
        <v/>
      </c>
      <c r="C400" s="17" t="n"/>
      <c r="D400" s="17" t="n"/>
      <c r="E400" s="17">
        <f>IF(D400="","",IFERROR(VLOOKUP(D400,Catálogo!$A:$D,2,FALSE),"Código não está no Catálogo"))</f>
        <v/>
      </c>
      <c r="F400" s="17">
        <f>IF(D400="","",IFERROR(VLOOKUP(D400,Catálogo!$A:$D,4,FALSE),""))</f>
        <v/>
      </c>
      <c r="G400" s="17" t="n"/>
      <c r="H400" s="17">
        <f>IF(D400="",0,IF(COUNTIFS($A$2:A400,A400,$D$2:D400,D400)=1,1,0))</f>
        <v/>
      </c>
      <c r="I400" s="17" t="n"/>
      <c r="J400" s="17" t="n"/>
      <c r="K400" s="18" t="n"/>
      <c r="L400" s="17" t="n"/>
      <c r="M400">
        <f>IF(AND(B400&lt;&gt;"",B400='Por empresa'!$B$2),COUNTIF($B$2:B400,'Por empresa'!$B$2),"")</f>
        <v/>
      </c>
    </row>
    <row r="401">
      <c r="A401" s="17" t="n"/>
      <c r="B401" s="17">
        <f>IF(A401="","",IFERROR(VLOOKUP(A401,Notificações!$A:$B,2,FALSE),"ID não encontrado"))</f>
        <v/>
      </c>
      <c r="C401" s="17" t="n"/>
      <c r="D401" s="17" t="n"/>
      <c r="E401" s="17">
        <f>IF(D401="","",IFERROR(VLOOKUP(D401,Catálogo!$A:$D,2,FALSE),"Código não está no Catálogo"))</f>
        <v/>
      </c>
      <c r="F401" s="17">
        <f>IF(D401="","",IFERROR(VLOOKUP(D401,Catálogo!$A:$D,4,FALSE),""))</f>
        <v/>
      </c>
      <c r="G401" s="17" t="n"/>
      <c r="H401" s="17">
        <f>IF(D401="",0,IF(COUNTIFS($A$2:A401,A401,$D$2:D401,D401)=1,1,0))</f>
        <v/>
      </c>
      <c r="I401" s="17" t="n"/>
      <c r="J401" s="17" t="n"/>
      <c r="K401" s="18" t="n"/>
      <c r="L401" s="17" t="n"/>
      <c r="M401">
        <f>IF(AND(B401&lt;&gt;"",B401='Por empresa'!$B$2),COUNTIF($B$2:B401,'Por empresa'!$B$2),"")</f>
        <v/>
      </c>
    </row>
    <row r="402">
      <c r="A402" s="17" t="n"/>
      <c r="B402" s="17">
        <f>IF(A402="","",IFERROR(VLOOKUP(A402,Notificações!$A:$B,2,FALSE),"ID não encontrado"))</f>
        <v/>
      </c>
      <c r="C402" s="17" t="n"/>
      <c r="D402" s="17" t="n"/>
      <c r="E402" s="17">
        <f>IF(D402="","",IFERROR(VLOOKUP(D402,Catálogo!$A:$D,2,FALSE),"Código não está no Catálogo"))</f>
        <v/>
      </c>
      <c r="F402" s="17">
        <f>IF(D402="","",IFERROR(VLOOKUP(D402,Catálogo!$A:$D,4,FALSE),""))</f>
        <v/>
      </c>
      <c r="G402" s="17" t="n"/>
      <c r="H402" s="17">
        <f>IF(D402="",0,IF(COUNTIFS($A$2:A402,A402,$D$2:D402,D402)=1,1,0))</f>
        <v/>
      </c>
      <c r="I402" s="17" t="n"/>
      <c r="J402" s="17" t="n"/>
      <c r="K402" s="18" t="n"/>
      <c r="L402" s="17" t="n"/>
      <c r="M402">
        <f>IF(AND(B402&lt;&gt;"",B402='Por empresa'!$B$2),COUNTIF($B$2:B402,'Por empresa'!$B$2),"")</f>
        <v/>
      </c>
    </row>
    <row r="403">
      <c r="A403" s="17" t="n"/>
      <c r="B403" s="17">
        <f>IF(A403="","",IFERROR(VLOOKUP(A403,Notificações!$A:$B,2,FALSE),"ID não encontrado"))</f>
        <v/>
      </c>
      <c r="C403" s="17" t="n"/>
      <c r="D403" s="17" t="n"/>
      <c r="E403" s="17">
        <f>IF(D403="","",IFERROR(VLOOKUP(D403,Catálogo!$A:$D,2,FALSE),"Código não está no Catálogo"))</f>
        <v/>
      </c>
      <c r="F403" s="17">
        <f>IF(D403="","",IFERROR(VLOOKUP(D403,Catálogo!$A:$D,4,FALSE),""))</f>
        <v/>
      </c>
      <c r="G403" s="17" t="n"/>
      <c r="H403" s="17">
        <f>IF(D403="",0,IF(COUNTIFS($A$2:A403,A403,$D$2:D403,D403)=1,1,0))</f>
        <v/>
      </c>
      <c r="I403" s="17" t="n"/>
      <c r="J403" s="17" t="n"/>
      <c r="K403" s="18" t="n"/>
      <c r="L403" s="17" t="n"/>
      <c r="M403">
        <f>IF(AND(B403&lt;&gt;"",B403='Por empresa'!$B$2),COUNTIF($B$2:B403,'Por empresa'!$B$2),"")</f>
        <v/>
      </c>
    </row>
    <row r="404">
      <c r="A404" s="17" t="n"/>
      <c r="B404" s="17">
        <f>IF(A404="","",IFERROR(VLOOKUP(A404,Notificações!$A:$B,2,FALSE),"ID não encontrado"))</f>
        <v/>
      </c>
      <c r="C404" s="17" t="n"/>
      <c r="D404" s="17" t="n"/>
      <c r="E404" s="17">
        <f>IF(D404="","",IFERROR(VLOOKUP(D404,Catálogo!$A:$D,2,FALSE),"Código não está no Catálogo"))</f>
        <v/>
      </c>
      <c r="F404" s="17">
        <f>IF(D404="","",IFERROR(VLOOKUP(D404,Catálogo!$A:$D,4,FALSE),""))</f>
        <v/>
      </c>
      <c r="G404" s="17" t="n"/>
      <c r="H404" s="17">
        <f>IF(D404="",0,IF(COUNTIFS($A$2:A404,A404,$D$2:D404,D404)=1,1,0))</f>
        <v/>
      </c>
      <c r="I404" s="17" t="n"/>
      <c r="J404" s="17" t="n"/>
      <c r="K404" s="18" t="n"/>
      <c r="L404" s="17" t="n"/>
      <c r="M404">
        <f>IF(AND(B404&lt;&gt;"",B404='Por empresa'!$B$2),COUNTIF($B$2:B404,'Por empresa'!$B$2),"")</f>
        <v/>
      </c>
    </row>
    <row r="405">
      <c r="A405" s="17" t="n"/>
      <c r="B405" s="17">
        <f>IF(A405="","",IFERROR(VLOOKUP(A405,Notificações!$A:$B,2,FALSE),"ID não encontrado"))</f>
        <v/>
      </c>
      <c r="C405" s="17" t="n"/>
      <c r="D405" s="17" t="n"/>
      <c r="E405" s="17">
        <f>IF(D405="","",IFERROR(VLOOKUP(D405,Catálogo!$A:$D,2,FALSE),"Código não está no Catálogo"))</f>
        <v/>
      </c>
      <c r="F405" s="17">
        <f>IF(D405="","",IFERROR(VLOOKUP(D405,Catálogo!$A:$D,4,FALSE),""))</f>
        <v/>
      </c>
      <c r="G405" s="17" t="n"/>
      <c r="H405" s="17">
        <f>IF(D405="",0,IF(COUNTIFS($A$2:A405,A405,$D$2:D405,D405)=1,1,0))</f>
        <v/>
      </c>
      <c r="I405" s="17" t="n"/>
      <c r="J405" s="17" t="n"/>
      <c r="K405" s="18" t="n"/>
      <c r="L405" s="17" t="n"/>
      <c r="M405">
        <f>IF(AND(B405&lt;&gt;"",B405='Por empresa'!$B$2),COUNTIF($B$2:B405,'Por empresa'!$B$2),"")</f>
        <v/>
      </c>
    </row>
    <row r="406">
      <c r="A406" s="17" t="n"/>
      <c r="B406" s="17">
        <f>IF(A406="","",IFERROR(VLOOKUP(A406,Notificações!$A:$B,2,FALSE),"ID não encontrado"))</f>
        <v/>
      </c>
      <c r="C406" s="17" t="n"/>
      <c r="D406" s="17" t="n"/>
      <c r="E406" s="17">
        <f>IF(D406="","",IFERROR(VLOOKUP(D406,Catálogo!$A:$D,2,FALSE),"Código não está no Catálogo"))</f>
        <v/>
      </c>
      <c r="F406" s="17">
        <f>IF(D406="","",IFERROR(VLOOKUP(D406,Catálogo!$A:$D,4,FALSE),""))</f>
        <v/>
      </c>
      <c r="G406" s="17" t="n"/>
      <c r="H406" s="17">
        <f>IF(D406="",0,IF(COUNTIFS($A$2:A406,A406,$D$2:D406,D406)=1,1,0))</f>
        <v/>
      </c>
      <c r="I406" s="17" t="n"/>
      <c r="J406" s="17" t="n"/>
      <c r="K406" s="18" t="n"/>
      <c r="L406" s="17" t="n"/>
      <c r="M406">
        <f>IF(AND(B406&lt;&gt;"",B406='Por empresa'!$B$2),COUNTIF($B$2:B406,'Por empresa'!$B$2),"")</f>
        <v/>
      </c>
    </row>
    <row r="407">
      <c r="A407" s="17" t="n"/>
      <c r="B407" s="17">
        <f>IF(A407="","",IFERROR(VLOOKUP(A407,Notificações!$A:$B,2,FALSE),"ID não encontrado"))</f>
        <v/>
      </c>
      <c r="C407" s="17" t="n"/>
      <c r="D407" s="17" t="n"/>
      <c r="E407" s="17">
        <f>IF(D407="","",IFERROR(VLOOKUP(D407,Catálogo!$A:$D,2,FALSE),"Código não está no Catálogo"))</f>
        <v/>
      </c>
      <c r="F407" s="17">
        <f>IF(D407="","",IFERROR(VLOOKUP(D407,Catálogo!$A:$D,4,FALSE),""))</f>
        <v/>
      </c>
      <c r="G407" s="17" t="n"/>
      <c r="H407" s="17">
        <f>IF(D407="",0,IF(COUNTIFS($A$2:A407,A407,$D$2:D407,D407)=1,1,0))</f>
        <v/>
      </c>
      <c r="I407" s="17" t="n"/>
      <c r="J407" s="17" t="n"/>
      <c r="K407" s="18" t="n"/>
      <c r="L407" s="17" t="n"/>
      <c r="M407">
        <f>IF(AND(B407&lt;&gt;"",B407='Por empresa'!$B$2),COUNTIF($B$2:B407,'Por empresa'!$B$2),"")</f>
        <v/>
      </c>
    </row>
    <row r="408">
      <c r="A408" s="17" t="n"/>
      <c r="B408" s="17">
        <f>IF(A408="","",IFERROR(VLOOKUP(A408,Notificações!$A:$B,2,FALSE),"ID não encontrado"))</f>
        <v/>
      </c>
      <c r="C408" s="17" t="n"/>
      <c r="D408" s="17" t="n"/>
      <c r="E408" s="17">
        <f>IF(D408="","",IFERROR(VLOOKUP(D408,Catálogo!$A:$D,2,FALSE),"Código não está no Catálogo"))</f>
        <v/>
      </c>
      <c r="F408" s="17">
        <f>IF(D408="","",IFERROR(VLOOKUP(D408,Catálogo!$A:$D,4,FALSE),""))</f>
        <v/>
      </c>
      <c r="G408" s="17" t="n"/>
      <c r="H408" s="17">
        <f>IF(D408="",0,IF(COUNTIFS($A$2:A408,A408,$D$2:D408,D408)=1,1,0))</f>
        <v/>
      </c>
      <c r="I408" s="17" t="n"/>
      <c r="J408" s="17" t="n"/>
      <c r="K408" s="18" t="n"/>
      <c r="L408" s="17" t="n"/>
      <c r="M408">
        <f>IF(AND(B408&lt;&gt;"",B408='Por empresa'!$B$2),COUNTIF($B$2:B408,'Por empresa'!$B$2),"")</f>
        <v/>
      </c>
    </row>
    <row r="409">
      <c r="A409" s="17" t="n"/>
      <c r="B409" s="17">
        <f>IF(A409="","",IFERROR(VLOOKUP(A409,Notificações!$A:$B,2,FALSE),"ID não encontrado"))</f>
        <v/>
      </c>
      <c r="C409" s="17" t="n"/>
      <c r="D409" s="17" t="n"/>
      <c r="E409" s="17">
        <f>IF(D409="","",IFERROR(VLOOKUP(D409,Catálogo!$A:$D,2,FALSE),"Código não está no Catálogo"))</f>
        <v/>
      </c>
      <c r="F409" s="17">
        <f>IF(D409="","",IFERROR(VLOOKUP(D409,Catálogo!$A:$D,4,FALSE),""))</f>
        <v/>
      </c>
      <c r="G409" s="17" t="n"/>
      <c r="H409" s="17">
        <f>IF(D409="",0,IF(COUNTIFS($A$2:A409,A409,$D$2:D409,D409)=1,1,0))</f>
        <v/>
      </c>
      <c r="I409" s="17" t="n"/>
      <c r="J409" s="17" t="n"/>
      <c r="K409" s="18" t="n"/>
      <c r="L409" s="17" t="n"/>
      <c r="M409">
        <f>IF(AND(B409&lt;&gt;"",B409='Por empresa'!$B$2),COUNTIF($B$2:B409,'Por empresa'!$B$2),"")</f>
        <v/>
      </c>
    </row>
    <row r="410">
      <c r="A410" s="17" t="n"/>
      <c r="B410" s="17">
        <f>IF(A410="","",IFERROR(VLOOKUP(A410,Notificações!$A:$B,2,FALSE),"ID não encontrado"))</f>
        <v/>
      </c>
      <c r="C410" s="17" t="n"/>
      <c r="D410" s="17" t="n"/>
      <c r="E410" s="17">
        <f>IF(D410="","",IFERROR(VLOOKUP(D410,Catálogo!$A:$D,2,FALSE),"Código não está no Catálogo"))</f>
        <v/>
      </c>
      <c r="F410" s="17">
        <f>IF(D410="","",IFERROR(VLOOKUP(D410,Catálogo!$A:$D,4,FALSE),""))</f>
        <v/>
      </c>
      <c r="G410" s="17" t="n"/>
      <c r="H410" s="17">
        <f>IF(D410="",0,IF(COUNTIFS($A$2:A410,A410,$D$2:D410,D410)=1,1,0))</f>
        <v/>
      </c>
      <c r="I410" s="17" t="n"/>
      <c r="J410" s="17" t="n"/>
      <c r="K410" s="18" t="n"/>
      <c r="L410" s="17" t="n"/>
      <c r="M410">
        <f>IF(AND(B410&lt;&gt;"",B410='Por empresa'!$B$2),COUNTIF($B$2:B410,'Por empresa'!$B$2),"")</f>
        <v/>
      </c>
    </row>
    <row r="411">
      <c r="A411" s="17" t="n"/>
      <c r="B411" s="17">
        <f>IF(A411="","",IFERROR(VLOOKUP(A411,Notificações!$A:$B,2,FALSE),"ID não encontrado"))</f>
        <v/>
      </c>
      <c r="C411" s="17" t="n"/>
      <c r="D411" s="17" t="n"/>
      <c r="E411" s="17">
        <f>IF(D411="","",IFERROR(VLOOKUP(D411,Catálogo!$A:$D,2,FALSE),"Código não está no Catálogo"))</f>
        <v/>
      </c>
      <c r="F411" s="17">
        <f>IF(D411="","",IFERROR(VLOOKUP(D411,Catálogo!$A:$D,4,FALSE),""))</f>
        <v/>
      </c>
      <c r="G411" s="17" t="n"/>
      <c r="H411" s="17">
        <f>IF(D411="",0,IF(COUNTIFS($A$2:A411,A411,$D$2:D411,D411)=1,1,0))</f>
        <v/>
      </c>
      <c r="I411" s="17" t="n"/>
      <c r="J411" s="17" t="n"/>
      <c r="K411" s="18" t="n"/>
      <c r="L411" s="17" t="n"/>
      <c r="M411">
        <f>IF(AND(B411&lt;&gt;"",B411='Por empresa'!$B$2),COUNTIF($B$2:B411,'Por empresa'!$B$2),"")</f>
        <v/>
      </c>
    </row>
    <row r="412">
      <c r="A412" s="17" t="n"/>
      <c r="B412" s="17">
        <f>IF(A412="","",IFERROR(VLOOKUP(A412,Notificações!$A:$B,2,FALSE),"ID não encontrado"))</f>
        <v/>
      </c>
      <c r="C412" s="17" t="n"/>
      <c r="D412" s="17" t="n"/>
      <c r="E412" s="17">
        <f>IF(D412="","",IFERROR(VLOOKUP(D412,Catálogo!$A:$D,2,FALSE),"Código não está no Catálogo"))</f>
        <v/>
      </c>
      <c r="F412" s="17">
        <f>IF(D412="","",IFERROR(VLOOKUP(D412,Catálogo!$A:$D,4,FALSE),""))</f>
        <v/>
      </c>
      <c r="G412" s="17" t="n"/>
      <c r="H412" s="17">
        <f>IF(D412="",0,IF(COUNTIFS($A$2:A412,A412,$D$2:D412,D412)=1,1,0))</f>
        <v/>
      </c>
      <c r="I412" s="17" t="n"/>
      <c r="J412" s="17" t="n"/>
      <c r="K412" s="18" t="n"/>
      <c r="L412" s="17" t="n"/>
      <c r="M412">
        <f>IF(AND(B412&lt;&gt;"",B412='Por empresa'!$B$2),COUNTIF($B$2:B412,'Por empresa'!$B$2),"")</f>
        <v/>
      </c>
    </row>
    <row r="413">
      <c r="A413" s="17" t="n"/>
      <c r="B413" s="17">
        <f>IF(A413="","",IFERROR(VLOOKUP(A413,Notificações!$A:$B,2,FALSE),"ID não encontrado"))</f>
        <v/>
      </c>
      <c r="C413" s="17" t="n"/>
      <c r="D413" s="17" t="n"/>
      <c r="E413" s="17">
        <f>IF(D413="","",IFERROR(VLOOKUP(D413,Catálogo!$A:$D,2,FALSE),"Código não está no Catálogo"))</f>
        <v/>
      </c>
      <c r="F413" s="17">
        <f>IF(D413="","",IFERROR(VLOOKUP(D413,Catálogo!$A:$D,4,FALSE),""))</f>
        <v/>
      </c>
      <c r="G413" s="17" t="n"/>
      <c r="H413" s="17">
        <f>IF(D413="",0,IF(COUNTIFS($A$2:A413,A413,$D$2:D413,D413)=1,1,0))</f>
        <v/>
      </c>
      <c r="I413" s="17" t="n"/>
      <c r="J413" s="17" t="n"/>
      <c r="K413" s="18" t="n"/>
      <c r="L413" s="17" t="n"/>
      <c r="M413">
        <f>IF(AND(B413&lt;&gt;"",B413='Por empresa'!$B$2),COUNTIF($B$2:B413,'Por empresa'!$B$2),"")</f>
        <v/>
      </c>
    </row>
    <row r="414">
      <c r="A414" s="17" t="n"/>
      <c r="B414" s="17">
        <f>IF(A414="","",IFERROR(VLOOKUP(A414,Notificações!$A:$B,2,FALSE),"ID não encontrado"))</f>
        <v/>
      </c>
      <c r="C414" s="17" t="n"/>
      <c r="D414" s="17" t="n"/>
      <c r="E414" s="17">
        <f>IF(D414="","",IFERROR(VLOOKUP(D414,Catálogo!$A:$D,2,FALSE),"Código não está no Catálogo"))</f>
        <v/>
      </c>
      <c r="F414" s="17">
        <f>IF(D414="","",IFERROR(VLOOKUP(D414,Catálogo!$A:$D,4,FALSE),""))</f>
        <v/>
      </c>
      <c r="G414" s="17" t="n"/>
      <c r="H414" s="17">
        <f>IF(D414="",0,IF(COUNTIFS($A$2:A414,A414,$D$2:D414,D414)=1,1,0))</f>
        <v/>
      </c>
      <c r="I414" s="17" t="n"/>
      <c r="J414" s="17" t="n"/>
      <c r="K414" s="18" t="n"/>
      <c r="L414" s="17" t="n"/>
      <c r="M414">
        <f>IF(AND(B414&lt;&gt;"",B414='Por empresa'!$B$2),COUNTIF($B$2:B414,'Por empresa'!$B$2),"")</f>
        <v/>
      </c>
    </row>
    <row r="415">
      <c r="A415" s="17" t="n"/>
      <c r="B415" s="17">
        <f>IF(A415="","",IFERROR(VLOOKUP(A415,Notificações!$A:$B,2,FALSE),"ID não encontrado"))</f>
        <v/>
      </c>
      <c r="C415" s="17" t="n"/>
      <c r="D415" s="17" t="n"/>
      <c r="E415" s="17">
        <f>IF(D415="","",IFERROR(VLOOKUP(D415,Catálogo!$A:$D,2,FALSE),"Código não está no Catálogo"))</f>
        <v/>
      </c>
      <c r="F415" s="17">
        <f>IF(D415="","",IFERROR(VLOOKUP(D415,Catálogo!$A:$D,4,FALSE),""))</f>
        <v/>
      </c>
      <c r="G415" s="17" t="n"/>
      <c r="H415" s="17">
        <f>IF(D415="",0,IF(COUNTIFS($A$2:A415,A415,$D$2:D415,D415)=1,1,0))</f>
        <v/>
      </c>
      <c r="I415" s="17" t="n"/>
      <c r="J415" s="17" t="n"/>
      <c r="K415" s="18" t="n"/>
      <c r="L415" s="17" t="n"/>
      <c r="M415">
        <f>IF(AND(B415&lt;&gt;"",B415='Por empresa'!$B$2),COUNTIF($B$2:B415,'Por empresa'!$B$2),"")</f>
        <v/>
      </c>
    </row>
    <row r="416">
      <c r="A416" s="17" t="n"/>
      <c r="B416" s="17">
        <f>IF(A416="","",IFERROR(VLOOKUP(A416,Notificações!$A:$B,2,FALSE),"ID não encontrado"))</f>
        <v/>
      </c>
      <c r="C416" s="17" t="n"/>
      <c r="D416" s="17" t="n"/>
      <c r="E416" s="17">
        <f>IF(D416="","",IFERROR(VLOOKUP(D416,Catálogo!$A:$D,2,FALSE),"Código não está no Catálogo"))</f>
        <v/>
      </c>
      <c r="F416" s="17">
        <f>IF(D416="","",IFERROR(VLOOKUP(D416,Catálogo!$A:$D,4,FALSE),""))</f>
        <v/>
      </c>
      <c r="G416" s="17" t="n"/>
      <c r="H416" s="17">
        <f>IF(D416="",0,IF(COUNTIFS($A$2:A416,A416,$D$2:D416,D416)=1,1,0))</f>
        <v/>
      </c>
      <c r="I416" s="17" t="n"/>
      <c r="J416" s="17" t="n"/>
      <c r="K416" s="18" t="n"/>
      <c r="L416" s="17" t="n"/>
      <c r="M416">
        <f>IF(AND(B416&lt;&gt;"",B416='Por empresa'!$B$2),COUNTIF($B$2:B416,'Por empresa'!$B$2),"")</f>
        <v/>
      </c>
    </row>
    <row r="417">
      <c r="A417" s="17" t="n"/>
      <c r="B417" s="17">
        <f>IF(A417="","",IFERROR(VLOOKUP(A417,Notificações!$A:$B,2,FALSE),"ID não encontrado"))</f>
        <v/>
      </c>
      <c r="C417" s="17" t="n"/>
      <c r="D417" s="17" t="n"/>
      <c r="E417" s="17">
        <f>IF(D417="","",IFERROR(VLOOKUP(D417,Catálogo!$A:$D,2,FALSE),"Código não está no Catálogo"))</f>
        <v/>
      </c>
      <c r="F417" s="17">
        <f>IF(D417="","",IFERROR(VLOOKUP(D417,Catálogo!$A:$D,4,FALSE),""))</f>
        <v/>
      </c>
      <c r="G417" s="17" t="n"/>
      <c r="H417" s="17">
        <f>IF(D417="",0,IF(COUNTIFS($A$2:A417,A417,$D$2:D417,D417)=1,1,0))</f>
        <v/>
      </c>
      <c r="I417" s="17" t="n"/>
      <c r="J417" s="17" t="n"/>
      <c r="K417" s="18" t="n"/>
      <c r="L417" s="17" t="n"/>
      <c r="M417">
        <f>IF(AND(B417&lt;&gt;"",B417='Por empresa'!$B$2),COUNTIF($B$2:B417,'Por empresa'!$B$2),"")</f>
        <v/>
      </c>
    </row>
    <row r="418">
      <c r="A418" s="17" t="n"/>
      <c r="B418" s="17">
        <f>IF(A418="","",IFERROR(VLOOKUP(A418,Notificações!$A:$B,2,FALSE),"ID não encontrado"))</f>
        <v/>
      </c>
      <c r="C418" s="17" t="n"/>
      <c r="D418" s="17" t="n"/>
      <c r="E418" s="17">
        <f>IF(D418="","",IFERROR(VLOOKUP(D418,Catálogo!$A:$D,2,FALSE),"Código não está no Catálogo"))</f>
        <v/>
      </c>
      <c r="F418" s="17">
        <f>IF(D418="","",IFERROR(VLOOKUP(D418,Catálogo!$A:$D,4,FALSE),""))</f>
        <v/>
      </c>
      <c r="G418" s="17" t="n"/>
      <c r="H418" s="17">
        <f>IF(D418="",0,IF(COUNTIFS($A$2:A418,A418,$D$2:D418,D418)=1,1,0))</f>
        <v/>
      </c>
      <c r="I418" s="17" t="n"/>
      <c r="J418" s="17" t="n"/>
      <c r="K418" s="18" t="n"/>
      <c r="L418" s="17" t="n"/>
      <c r="M418">
        <f>IF(AND(B418&lt;&gt;"",B418='Por empresa'!$B$2),COUNTIF($B$2:B418,'Por empresa'!$B$2),"")</f>
        <v/>
      </c>
    </row>
    <row r="419">
      <c r="A419" s="17" t="n"/>
      <c r="B419" s="17">
        <f>IF(A419="","",IFERROR(VLOOKUP(A419,Notificações!$A:$B,2,FALSE),"ID não encontrado"))</f>
        <v/>
      </c>
      <c r="C419" s="17" t="n"/>
      <c r="D419" s="17" t="n"/>
      <c r="E419" s="17">
        <f>IF(D419="","",IFERROR(VLOOKUP(D419,Catálogo!$A:$D,2,FALSE),"Código não está no Catálogo"))</f>
        <v/>
      </c>
      <c r="F419" s="17">
        <f>IF(D419="","",IFERROR(VLOOKUP(D419,Catálogo!$A:$D,4,FALSE),""))</f>
        <v/>
      </c>
      <c r="G419" s="17" t="n"/>
      <c r="H419" s="17">
        <f>IF(D419="",0,IF(COUNTIFS($A$2:A419,A419,$D$2:D419,D419)=1,1,0))</f>
        <v/>
      </c>
      <c r="I419" s="17" t="n"/>
      <c r="J419" s="17" t="n"/>
      <c r="K419" s="18" t="n"/>
      <c r="L419" s="17" t="n"/>
      <c r="M419">
        <f>IF(AND(B419&lt;&gt;"",B419='Por empresa'!$B$2),COUNTIF($B$2:B419,'Por empresa'!$B$2),"")</f>
        <v/>
      </c>
    </row>
    <row r="420">
      <c r="A420" s="17" t="n"/>
      <c r="B420" s="17">
        <f>IF(A420="","",IFERROR(VLOOKUP(A420,Notificações!$A:$B,2,FALSE),"ID não encontrado"))</f>
        <v/>
      </c>
      <c r="C420" s="17" t="n"/>
      <c r="D420" s="17" t="n"/>
      <c r="E420" s="17">
        <f>IF(D420="","",IFERROR(VLOOKUP(D420,Catálogo!$A:$D,2,FALSE),"Código não está no Catálogo"))</f>
        <v/>
      </c>
      <c r="F420" s="17">
        <f>IF(D420="","",IFERROR(VLOOKUP(D420,Catálogo!$A:$D,4,FALSE),""))</f>
        <v/>
      </c>
      <c r="G420" s="17" t="n"/>
      <c r="H420" s="17">
        <f>IF(D420="",0,IF(COUNTIFS($A$2:A420,A420,$D$2:D420,D420)=1,1,0))</f>
        <v/>
      </c>
      <c r="I420" s="17" t="n"/>
      <c r="J420" s="17" t="n"/>
      <c r="K420" s="18" t="n"/>
      <c r="L420" s="17" t="n"/>
      <c r="M420">
        <f>IF(AND(B420&lt;&gt;"",B420='Por empresa'!$B$2),COUNTIF($B$2:B420,'Por empresa'!$B$2),"")</f>
        <v/>
      </c>
    </row>
    <row r="421">
      <c r="A421" s="17" t="n"/>
      <c r="B421" s="17">
        <f>IF(A421="","",IFERROR(VLOOKUP(A421,Notificações!$A:$B,2,FALSE),"ID não encontrado"))</f>
        <v/>
      </c>
      <c r="C421" s="17" t="n"/>
      <c r="D421" s="17" t="n"/>
      <c r="E421" s="17">
        <f>IF(D421="","",IFERROR(VLOOKUP(D421,Catálogo!$A:$D,2,FALSE),"Código não está no Catálogo"))</f>
        <v/>
      </c>
      <c r="F421" s="17">
        <f>IF(D421="","",IFERROR(VLOOKUP(D421,Catálogo!$A:$D,4,FALSE),""))</f>
        <v/>
      </c>
      <c r="G421" s="17" t="n"/>
      <c r="H421" s="17">
        <f>IF(D421="",0,IF(COUNTIFS($A$2:A421,A421,$D$2:D421,D421)=1,1,0))</f>
        <v/>
      </c>
      <c r="I421" s="17" t="n"/>
      <c r="J421" s="17" t="n"/>
      <c r="K421" s="18" t="n"/>
      <c r="L421" s="17" t="n"/>
      <c r="M421">
        <f>IF(AND(B421&lt;&gt;"",B421='Por empresa'!$B$2),COUNTIF($B$2:B421,'Por empresa'!$B$2),"")</f>
        <v/>
      </c>
    </row>
    <row r="422">
      <c r="A422" s="17" t="n"/>
      <c r="B422" s="17">
        <f>IF(A422="","",IFERROR(VLOOKUP(A422,Notificações!$A:$B,2,FALSE),"ID não encontrado"))</f>
        <v/>
      </c>
      <c r="C422" s="17" t="n"/>
      <c r="D422" s="17" t="n"/>
      <c r="E422" s="17">
        <f>IF(D422="","",IFERROR(VLOOKUP(D422,Catálogo!$A:$D,2,FALSE),"Código não está no Catálogo"))</f>
        <v/>
      </c>
      <c r="F422" s="17">
        <f>IF(D422="","",IFERROR(VLOOKUP(D422,Catálogo!$A:$D,4,FALSE),""))</f>
        <v/>
      </c>
      <c r="G422" s="17" t="n"/>
      <c r="H422" s="17">
        <f>IF(D422="",0,IF(COUNTIFS($A$2:A422,A422,$D$2:D422,D422)=1,1,0))</f>
        <v/>
      </c>
      <c r="I422" s="17" t="n"/>
      <c r="J422" s="17" t="n"/>
      <c r="K422" s="18" t="n"/>
      <c r="L422" s="17" t="n"/>
      <c r="M422">
        <f>IF(AND(B422&lt;&gt;"",B422='Por empresa'!$B$2),COUNTIF($B$2:B422,'Por empresa'!$B$2),"")</f>
        <v/>
      </c>
    </row>
    <row r="423">
      <c r="A423" s="17" t="n"/>
      <c r="B423" s="17">
        <f>IF(A423="","",IFERROR(VLOOKUP(A423,Notificações!$A:$B,2,FALSE),"ID não encontrado"))</f>
        <v/>
      </c>
      <c r="C423" s="17" t="n"/>
      <c r="D423" s="17" t="n"/>
      <c r="E423" s="17">
        <f>IF(D423="","",IFERROR(VLOOKUP(D423,Catálogo!$A:$D,2,FALSE),"Código não está no Catálogo"))</f>
        <v/>
      </c>
      <c r="F423" s="17">
        <f>IF(D423="","",IFERROR(VLOOKUP(D423,Catálogo!$A:$D,4,FALSE),""))</f>
        <v/>
      </c>
      <c r="G423" s="17" t="n"/>
      <c r="H423" s="17">
        <f>IF(D423="",0,IF(COUNTIFS($A$2:A423,A423,$D$2:D423,D423)=1,1,0))</f>
        <v/>
      </c>
      <c r="I423" s="17" t="n"/>
      <c r="J423" s="17" t="n"/>
      <c r="K423" s="18" t="n"/>
      <c r="L423" s="17" t="n"/>
      <c r="M423">
        <f>IF(AND(B423&lt;&gt;"",B423='Por empresa'!$B$2),COUNTIF($B$2:B423,'Por empresa'!$B$2),"")</f>
        <v/>
      </c>
    </row>
    <row r="424">
      <c r="A424" s="17" t="n"/>
      <c r="B424" s="17">
        <f>IF(A424="","",IFERROR(VLOOKUP(A424,Notificações!$A:$B,2,FALSE),"ID não encontrado"))</f>
        <v/>
      </c>
      <c r="C424" s="17" t="n"/>
      <c r="D424" s="17" t="n"/>
      <c r="E424" s="17">
        <f>IF(D424="","",IFERROR(VLOOKUP(D424,Catálogo!$A:$D,2,FALSE),"Código não está no Catálogo"))</f>
        <v/>
      </c>
      <c r="F424" s="17">
        <f>IF(D424="","",IFERROR(VLOOKUP(D424,Catálogo!$A:$D,4,FALSE),""))</f>
        <v/>
      </c>
      <c r="G424" s="17" t="n"/>
      <c r="H424" s="17">
        <f>IF(D424="",0,IF(COUNTIFS($A$2:A424,A424,$D$2:D424,D424)=1,1,0))</f>
        <v/>
      </c>
      <c r="I424" s="17" t="n"/>
      <c r="J424" s="17" t="n"/>
      <c r="K424" s="18" t="n"/>
      <c r="L424" s="17" t="n"/>
      <c r="M424">
        <f>IF(AND(B424&lt;&gt;"",B424='Por empresa'!$B$2),COUNTIF($B$2:B424,'Por empresa'!$B$2),"")</f>
        <v/>
      </c>
    </row>
    <row r="425">
      <c r="A425" s="17" t="n"/>
      <c r="B425" s="17">
        <f>IF(A425="","",IFERROR(VLOOKUP(A425,Notificações!$A:$B,2,FALSE),"ID não encontrado"))</f>
        <v/>
      </c>
      <c r="C425" s="17" t="n"/>
      <c r="D425" s="17" t="n"/>
      <c r="E425" s="17">
        <f>IF(D425="","",IFERROR(VLOOKUP(D425,Catálogo!$A:$D,2,FALSE),"Código não está no Catálogo"))</f>
        <v/>
      </c>
      <c r="F425" s="17">
        <f>IF(D425="","",IFERROR(VLOOKUP(D425,Catálogo!$A:$D,4,FALSE),""))</f>
        <v/>
      </c>
      <c r="G425" s="17" t="n"/>
      <c r="H425" s="17">
        <f>IF(D425="",0,IF(COUNTIFS($A$2:A425,A425,$D$2:D425,D425)=1,1,0))</f>
        <v/>
      </c>
      <c r="I425" s="17" t="n"/>
      <c r="J425" s="17" t="n"/>
      <c r="K425" s="18" t="n"/>
      <c r="L425" s="17" t="n"/>
      <c r="M425">
        <f>IF(AND(B425&lt;&gt;"",B425='Por empresa'!$B$2),COUNTIF($B$2:B425,'Por empresa'!$B$2),"")</f>
        <v/>
      </c>
    </row>
    <row r="426">
      <c r="A426" s="17" t="n"/>
      <c r="B426" s="17">
        <f>IF(A426="","",IFERROR(VLOOKUP(A426,Notificações!$A:$B,2,FALSE),"ID não encontrado"))</f>
        <v/>
      </c>
      <c r="C426" s="17" t="n"/>
      <c r="D426" s="17" t="n"/>
      <c r="E426" s="17">
        <f>IF(D426="","",IFERROR(VLOOKUP(D426,Catálogo!$A:$D,2,FALSE),"Código não está no Catálogo"))</f>
        <v/>
      </c>
      <c r="F426" s="17">
        <f>IF(D426="","",IFERROR(VLOOKUP(D426,Catálogo!$A:$D,4,FALSE),""))</f>
        <v/>
      </c>
      <c r="G426" s="17" t="n"/>
      <c r="H426" s="17">
        <f>IF(D426="",0,IF(COUNTIFS($A$2:A426,A426,$D$2:D426,D426)=1,1,0))</f>
        <v/>
      </c>
      <c r="I426" s="17" t="n"/>
      <c r="J426" s="17" t="n"/>
      <c r="K426" s="18" t="n"/>
      <c r="L426" s="17" t="n"/>
      <c r="M426">
        <f>IF(AND(B426&lt;&gt;"",B426='Por empresa'!$B$2),COUNTIF($B$2:B426,'Por empresa'!$B$2),"")</f>
        <v/>
      </c>
    </row>
    <row r="427">
      <c r="A427" s="17" t="n"/>
      <c r="B427" s="17">
        <f>IF(A427="","",IFERROR(VLOOKUP(A427,Notificações!$A:$B,2,FALSE),"ID não encontrado"))</f>
        <v/>
      </c>
      <c r="C427" s="17" t="n"/>
      <c r="D427" s="17" t="n"/>
      <c r="E427" s="17">
        <f>IF(D427="","",IFERROR(VLOOKUP(D427,Catálogo!$A:$D,2,FALSE),"Código não está no Catálogo"))</f>
        <v/>
      </c>
      <c r="F427" s="17">
        <f>IF(D427="","",IFERROR(VLOOKUP(D427,Catálogo!$A:$D,4,FALSE),""))</f>
        <v/>
      </c>
      <c r="G427" s="17" t="n"/>
      <c r="H427" s="17">
        <f>IF(D427="",0,IF(COUNTIFS($A$2:A427,A427,$D$2:D427,D427)=1,1,0))</f>
        <v/>
      </c>
      <c r="I427" s="17" t="n"/>
      <c r="J427" s="17" t="n"/>
      <c r="K427" s="18" t="n"/>
      <c r="L427" s="17" t="n"/>
      <c r="M427">
        <f>IF(AND(B427&lt;&gt;"",B427='Por empresa'!$B$2),COUNTIF($B$2:B427,'Por empresa'!$B$2),"")</f>
        <v/>
      </c>
    </row>
    <row r="428">
      <c r="A428" s="17" t="n"/>
      <c r="B428" s="17">
        <f>IF(A428="","",IFERROR(VLOOKUP(A428,Notificações!$A:$B,2,FALSE),"ID não encontrado"))</f>
        <v/>
      </c>
      <c r="C428" s="17" t="n"/>
      <c r="D428" s="17" t="n"/>
      <c r="E428" s="17">
        <f>IF(D428="","",IFERROR(VLOOKUP(D428,Catálogo!$A:$D,2,FALSE),"Código não está no Catálogo"))</f>
        <v/>
      </c>
      <c r="F428" s="17">
        <f>IF(D428="","",IFERROR(VLOOKUP(D428,Catálogo!$A:$D,4,FALSE),""))</f>
        <v/>
      </c>
      <c r="G428" s="17" t="n"/>
      <c r="H428" s="17">
        <f>IF(D428="",0,IF(COUNTIFS($A$2:A428,A428,$D$2:D428,D428)=1,1,0))</f>
        <v/>
      </c>
      <c r="I428" s="17" t="n"/>
      <c r="J428" s="17" t="n"/>
      <c r="K428" s="18" t="n"/>
      <c r="L428" s="17" t="n"/>
      <c r="M428">
        <f>IF(AND(B428&lt;&gt;"",B428='Por empresa'!$B$2),COUNTIF($B$2:B428,'Por empresa'!$B$2),"")</f>
        <v/>
      </c>
    </row>
    <row r="429">
      <c r="A429" s="17" t="n"/>
      <c r="B429" s="17">
        <f>IF(A429="","",IFERROR(VLOOKUP(A429,Notificações!$A:$B,2,FALSE),"ID não encontrado"))</f>
        <v/>
      </c>
      <c r="C429" s="17" t="n"/>
      <c r="D429" s="17" t="n"/>
      <c r="E429" s="17">
        <f>IF(D429="","",IFERROR(VLOOKUP(D429,Catálogo!$A:$D,2,FALSE),"Código não está no Catálogo"))</f>
        <v/>
      </c>
      <c r="F429" s="17">
        <f>IF(D429="","",IFERROR(VLOOKUP(D429,Catálogo!$A:$D,4,FALSE),""))</f>
        <v/>
      </c>
      <c r="G429" s="17" t="n"/>
      <c r="H429" s="17">
        <f>IF(D429="",0,IF(COUNTIFS($A$2:A429,A429,$D$2:D429,D429)=1,1,0))</f>
        <v/>
      </c>
      <c r="I429" s="17" t="n"/>
      <c r="J429" s="17" t="n"/>
      <c r="K429" s="18" t="n"/>
      <c r="L429" s="17" t="n"/>
      <c r="M429">
        <f>IF(AND(B429&lt;&gt;"",B429='Por empresa'!$B$2),COUNTIF($B$2:B429,'Por empresa'!$B$2),"")</f>
        <v/>
      </c>
    </row>
    <row r="430">
      <c r="A430" s="17" t="n"/>
      <c r="B430" s="17">
        <f>IF(A430="","",IFERROR(VLOOKUP(A430,Notificações!$A:$B,2,FALSE),"ID não encontrado"))</f>
        <v/>
      </c>
      <c r="C430" s="17" t="n"/>
      <c r="D430" s="17" t="n"/>
      <c r="E430" s="17">
        <f>IF(D430="","",IFERROR(VLOOKUP(D430,Catálogo!$A:$D,2,FALSE),"Código não está no Catálogo"))</f>
        <v/>
      </c>
      <c r="F430" s="17">
        <f>IF(D430="","",IFERROR(VLOOKUP(D430,Catálogo!$A:$D,4,FALSE),""))</f>
        <v/>
      </c>
      <c r="G430" s="17" t="n"/>
      <c r="H430" s="17">
        <f>IF(D430="",0,IF(COUNTIFS($A$2:A430,A430,$D$2:D430,D430)=1,1,0))</f>
        <v/>
      </c>
      <c r="I430" s="17" t="n"/>
      <c r="J430" s="17" t="n"/>
      <c r="K430" s="18" t="n"/>
      <c r="L430" s="17" t="n"/>
      <c r="M430">
        <f>IF(AND(B430&lt;&gt;"",B430='Por empresa'!$B$2),COUNTIF($B$2:B430,'Por empresa'!$B$2),"")</f>
        <v/>
      </c>
    </row>
    <row r="431">
      <c r="A431" s="17" t="n"/>
      <c r="B431" s="17">
        <f>IF(A431="","",IFERROR(VLOOKUP(A431,Notificações!$A:$B,2,FALSE),"ID não encontrado"))</f>
        <v/>
      </c>
      <c r="C431" s="17" t="n"/>
      <c r="D431" s="17" t="n"/>
      <c r="E431" s="17">
        <f>IF(D431="","",IFERROR(VLOOKUP(D431,Catálogo!$A:$D,2,FALSE),"Código não está no Catálogo"))</f>
        <v/>
      </c>
      <c r="F431" s="17">
        <f>IF(D431="","",IFERROR(VLOOKUP(D431,Catálogo!$A:$D,4,FALSE),""))</f>
        <v/>
      </c>
      <c r="G431" s="17" t="n"/>
      <c r="H431" s="17">
        <f>IF(D431="",0,IF(COUNTIFS($A$2:A431,A431,$D$2:D431,D431)=1,1,0))</f>
        <v/>
      </c>
      <c r="I431" s="17" t="n"/>
      <c r="J431" s="17" t="n"/>
      <c r="K431" s="18" t="n"/>
      <c r="L431" s="17" t="n"/>
      <c r="M431">
        <f>IF(AND(B431&lt;&gt;"",B431='Por empresa'!$B$2),COUNTIF($B$2:B431,'Por empresa'!$B$2),"")</f>
        <v/>
      </c>
    </row>
    <row r="432">
      <c r="A432" s="17" t="n"/>
      <c r="B432" s="17">
        <f>IF(A432="","",IFERROR(VLOOKUP(A432,Notificações!$A:$B,2,FALSE),"ID não encontrado"))</f>
        <v/>
      </c>
      <c r="C432" s="17" t="n"/>
      <c r="D432" s="17" t="n"/>
      <c r="E432" s="17">
        <f>IF(D432="","",IFERROR(VLOOKUP(D432,Catálogo!$A:$D,2,FALSE),"Código não está no Catálogo"))</f>
        <v/>
      </c>
      <c r="F432" s="17">
        <f>IF(D432="","",IFERROR(VLOOKUP(D432,Catálogo!$A:$D,4,FALSE),""))</f>
        <v/>
      </c>
      <c r="G432" s="17" t="n"/>
      <c r="H432" s="17">
        <f>IF(D432="",0,IF(COUNTIFS($A$2:A432,A432,$D$2:D432,D432)=1,1,0))</f>
        <v/>
      </c>
      <c r="I432" s="17" t="n"/>
      <c r="J432" s="17" t="n"/>
      <c r="K432" s="18" t="n"/>
      <c r="L432" s="17" t="n"/>
      <c r="M432">
        <f>IF(AND(B432&lt;&gt;"",B432='Por empresa'!$B$2),COUNTIF($B$2:B432,'Por empresa'!$B$2),"")</f>
        <v/>
      </c>
    </row>
    <row r="433">
      <c r="A433" s="17" t="n"/>
      <c r="B433" s="17">
        <f>IF(A433="","",IFERROR(VLOOKUP(A433,Notificações!$A:$B,2,FALSE),"ID não encontrado"))</f>
        <v/>
      </c>
      <c r="C433" s="17" t="n"/>
      <c r="D433" s="17" t="n"/>
      <c r="E433" s="17">
        <f>IF(D433="","",IFERROR(VLOOKUP(D433,Catálogo!$A:$D,2,FALSE),"Código não está no Catálogo"))</f>
        <v/>
      </c>
      <c r="F433" s="17">
        <f>IF(D433="","",IFERROR(VLOOKUP(D433,Catálogo!$A:$D,4,FALSE),""))</f>
        <v/>
      </c>
      <c r="G433" s="17" t="n"/>
      <c r="H433" s="17">
        <f>IF(D433="",0,IF(COUNTIFS($A$2:A433,A433,$D$2:D433,D433)=1,1,0))</f>
        <v/>
      </c>
      <c r="I433" s="17" t="n"/>
      <c r="J433" s="17" t="n"/>
      <c r="K433" s="18" t="n"/>
      <c r="L433" s="17" t="n"/>
      <c r="M433">
        <f>IF(AND(B433&lt;&gt;"",B433='Por empresa'!$B$2),COUNTIF($B$2:B433,'Por empresa'!$B$2),"")</f>
        <v/>
      </c>
    </row>
    <row r="434">
      <c r="A434" s="17" t="n"/>
      <c r="B434" s="17">
        <f>IF(A434="","",IFERROR(VLOOKUP(A434,Notificações!$A:$B,2,FALSE),"ID não encontrado"))</f>
        <v/>
      </c>
      <c r="C434" s="17" t="n"/>
      <c r="D434" s="17" t="n"/>
      <c r="E434" s="17">
        <f>IF(D434="","",IFERROR(VLOOKUP(D434,Catálogo!$A:$D,2,FALSE),"Código não está no Catálogo"))</f>
        <v/>
      </c>
      <c r="F434" s="17">
        <f>IF(D434="","",IFERROR(VLOOKUP(D434,Catálogo!$A:$D,4,FALSE),""))</f>
        <v/>
      </c>
      <c r="G434" s="17" t="n"/>
      <c r="H434" s="17">
        <f>IF(D434="",0,IF(COUNTIFS($A$2:A434,A434,$D$2:D434,D434)=1,1,0))</f>
        <v/>
      </c>
      <c r="I434" s="17" t="n"/>
      <c r="J434" s="17" t="n"/>
      <c r="K434" s="18" t="n"/>
      <c r="L434" s="17" t="n"/>
      <c r="M434">
        <f>IF(AND(B434&lt;&gt;"",B434='Por empresa'!$B$2),COUNTIF($B$2:B434,'Por empresa'!$B$2),"")</f>
        <v/>
      </c>
    </row>
    <row r="435">
      <c r="A435" s="17" t="n"/>
      <c r="B435" s="17">
        <f>IF(A435="","",IFERROR(VLOOKUP(A435,Notificações!$A:$B,2,FALSE),"ID não encontrado"))</f>
        <v/>
      </c>
      <c r="C435" s="17" t="n"/>
      <c r="D435" s="17" t="n"/>
      <c r="E435" s="17">
        <f>IF(D435="","",IFERROR(VLOOKUP(D435,Catálogo!$A:$D,2,FALSE),"Código não está no Catálogo"))</f>
        <v/>
      </c>
      <c r="F435" s="17">
        <f>IF(D435="","",IFERROR(VLOOKUP(D435,Catálogo!$A:$D,4,FALSE),""))</f>
        <v/>
      </c>
      <c r="G435" s="17" t="n"/>
      <c r="H435" s="17">
        <f>IF(D435="",0,IF(COUNTIFS($A$2:A435,A435,$D$2:D435,D435)=1,1,0))</f>
        <v/>
      </c>
      <c r="I435" s="17" t="n"/>
      <c r="J435" s="17" t="n"/>
      <c r="K435" s="18" t="n"/>
      <c r="L435" s="17" t="n"/>
      <c r="M435">
        <f>IF(AND(B435&lt;&gt;"",B435='Por empresa'!$B$2),COUNTIF($B$2:B435,'Por empresa'!$B$2),"")</f>
        <v/>
      </c>
    </row>
    <row r="436">
      <c r="A436" s="17" t="n"/>
      <c r="B436" s="17">
        <f>IF(A436="","",IFERROR(VLOOKUP(A436,Notificações!$A:$B,2,FALSE),"ID não encontrado"))</f>
        <v/>
      </c>
      <c r="C436" s="17" t="n"/>
      <c r="D436" s="17" t="n"/>
      <c r="E436" s="17">
        <f>IF(D436="","",IFERROR(VLOOKUP(D436,Catálogo!$A:$D,2,FALSE),"Código não está no Catálogo"))</f>
        <v/>
      </c>
      <c r="F436" s="17">
        <f>IF(D436="","",IFERROR(VLOOKUP(D436,Catálogo!$A:$D,4,FALSE),""))</f>
        <v/>
      </c>
      <c r="G436" s="17" t="n"/>
      <c r="H436" s="17">
        <f>IF(D436="",0,IF(COUNTIFS($A$2:A436,A436,$D$2:D436,D436)=1,1,0))</f>
        <v/>
      </c>
      <c r="I436" s="17" t="n"/>
      <c r="J436" s="17" t="n"/>
      <c r="K436" s="18" t="n"/>
      <c r="L436" s="17" t="n"/>
      <c r="M436">
        <f>IF(AND(B436&lt;&gt;"",B436='Por empresa'!$B$2),COUNTIF($B$2:B436,'Por empresa'!$B$2),"")</f>
        <v/>
      </c>
    </row>
    <row r="437">
      <c r="A437" s="17" t="n"/>
      <c r="B437" s="17">
        <f>IF(A437="","",IFERROR(VLOOKUP(A437,Notificações!$A:$B,2,FALSE),"ID não encontrado"))</f>
        <v/>
      </c>
      <c r="C437" s="17" t="n"/>
      <c r="D437" s="17" t="n"/>
      <c r="E437" s="17">
        <f>IF(D437="","",IFERROR(VLOOKUP(D437,Catálogo!$A:$D,2,FALSE),"Código não está no Catálogo"))</f>
        <v/>
      </c>
      <c r="F437" s="17">
        <f>IF(D437="","",IFERROR(VLOOKUP(D437,Catálogo!$A:$D,4,FALSE),""))</f>
        <v/>
      </c>
      <c r="G437" s="17" t="n"/>
      <c r="H437" s="17">
        <f>IF(D437="",0,IF(COUNTIFS($A$2:A437,A437,$D$2:D437,D437)=1,1,0))</f>
        <v/>
      </c>
      <c r="I437" s="17" t="n"/>
      <c r="J437" s="17" t="n"/>
      <c r="K437" s="18" t="n"/>
      <c r="L437" s="17" t="n"/>
      <c r="M437">
        <f>IF(AND(B437&lt;&gt;"",B437='Por empresa'!$B$2),COUNTIF($B$2:B437,'Por empresa'!$B$2),"")</f>
        <v/>
      </c>
    </row>
    <row r="438">
      <c r="A438" s="17" t="n"/>
      <c r="B438" s="17">
        <f>IF(A438="","",IFERROR(VLOOKUP(A438,Notificações!$A:$B,2,FALSE),"ID não encontrado"))</f>
        <v/>
      </c>
      <c r="C438" s="17" t="n"/>
      <c r="D438" s="17" t="n"/>
      <c r="E438" s="17">
        <f>IF(D438="","",IFERROR(VLOOKUP(D438,Catálogo!$A:$D,2,FALSE),"Código não está no Catálogo"))</f>
        <v/>
      </c>
      <c r="F438" s="17">
        <f>IF(D438="","",IFERROR(VLOOKUP(D438,Catálogo!$A:$D,4,FALSE),""))</f>
        <v/>
      </c>
      <c r="G438" s="17" t="n"/>
      <c r="H438" s="17">
        <f>IF(D438="",0,IF(COUNTIFS($A$2:A438,A438,$D$2:D438,D438)=1,1,0))</f>
        <v/>
      </c>
      <c r="I438" s="17" t="n"/>
      <c r="J438" s="17" t="n"/>
      <c r="K438" s="18" t="n"/>
      <c r="L438" s="17" t="n"/>
      <c r="M438">
        <f>IF(AND(B438&lt;&gt;"",B438='Por empresa'!$B$2),COUNTIF($B$2:B438,'Por empresa'!$B$2),"")</f>
        <v/>
      </c>
    </row>
    <row r="439">
      <c r="A439" s="17" t="n"/>
      <c r="B439" s="17">
        <f>IF(A439="","",IFERROR(VLOOKUP(A439,Notificações!$A:$B,2,FALSE),"ID não encontrado"))</f>
        <v/>
      </c>
      <c r="C439" s="17" t="n"/>
      <c r="D439" s="17" t="n"/>
      <c r="E439" s="17">
        <f>IF(D439="","",IFERROR(VLOOKUP(D439,Catálogo!$A:$D,2,FALSE),"Código não está no Catálogo"))</f>
        <v/>
      </c>
      <c r="F439" s="17">
        <f>IF(D439="","",IFERROR(VLOOKUP(D439,Catálogo!$A:$D,4,FALSE),""))</f>
        <v/>
      </c>
      <c r="G439" s="17" t="n"/>
      <c r="H439" s="17">
        <f>IF(D439="",0,IF(COUNTIFS($A$2:A439,A439,$D$2:D439,D439)=1,1,0))</f>
        <v/>
      </c>
      <c r="I439" s="17" t="n"/>
      <c r="J439" s="17" t="n"/>
      <c r="K439" s="18" t="n"/>
      <c r="L439" s="17" t="n"/>
      <c r="M439">
        <f>IF(AND(B439&lt;&gt;"",B439='Por empresa'!$B$2),COUNTIF($B$2:B439,'Por empresa'!$B$2),"")</f>
        <v/>
      </c>
    </row>
    <row r="440">
      <c r="A440" s="17" t="n"/>
      <c r="B440" s="17">
        <f>IF(A440="","",IFERROR(VLOOKUP(A440,Notificações!$A:$B,2,FALSE),"ID não encontrado"))</f>
        <v/>
      </c>
      <c r="C440" s="17" t="n"/>
      <c r="D440" s="17" t="n"/>
      <c r="E440" s="17">
        <f>IF(D440="","",IFERROR(VLOOKUP(D440,Catálogo!$A:$D,2,FALSE),"Código não está no Catálogo"))</f>
        <v/>
      </c>
      <c r="F440" s="17">
        <f>IF(D440="","",IFERROR(VLOOKUP(D440,Catálogo!$A:$D,4,FALSE),""))</f>
        <v/>
      </c>
      <c r="G440" s="17" t="n"/>
      <c r="H440" s="17">
        <f>IF(D440="",0,IF(COUNTIFS($A$2:A440,A440,$D$2:D440,D440)=1,1,0))</f>
        <v/>
      </c>
      <c r="I440" s="17" t="n"/>
      <c r="J440" s="17" t="n"/>
      <c r="K440" s="18" t="n"/>
      <c r="L440" s="17" t="n"/>
      <c r="M440">
        <f>IF(AND(B440&lt;&gt;"",B440='Por empresa'!$B$2),COUNTIF($B$2:B440,'Por empresa'!$B$2),"")</f>
        <v/>
      </c>
    </row>
    <row r="441">
      <c r="A441" s="17" t="n"/>
      <c r="B441" s="17">
        <f>IF(A441="","",IFERROR(VLOOKUP(A441,Notificações!$A:$B,2,FALSE),"ID não encontrado"))</f>
        <v/>
      </c>
      <c r="C441" s="17" t="n"/>
      <c r="D441" s="17" t="n"/>
      <c r="E441" s="17">
        <f>IF(D441="","",IFERROR(VLOOKUP(D441,Catálogo!$A:$D,2,FALSE),"Código não está no Catálogo"))</f>
        <v/>
      </c>
      <c r="F441" s="17">
        <f>IF(D441="","",IFERROR(VLOOKUP(D441,Catálogo!$A:$D,4,FALSE),""))</f>
        <v/>
      </c>
      <c r="G441" s="17" t="n"/>
      <c r="H441" s="17">
        <f>IF(D441="",0,IF(COUNTIFS($A$2:A441,A441,$D$2:D441,D441)=1,1,0))</f>
        <v/>
      </c>
      <c r="I441" s="17" t="n"/>
      <c r="J441" s="17" t="n"/>
      <c r="K441" s="18" t="n"/>
      <c r="L441" s="17" t="n"/>
      <c r="M441">
        <f>IF(AND(B441&lt;&gt;"",B441='Por empresa'!$B$2),COUNTIF($B$2:B441,'Por empresa'!$B$2),"")</f>
        <v/>
      </c>
    </row>
    <row r="442">
      <c r="A442" s="17" t="n"/>
      <c r="B442" s="17">
        <f>IF(A442="","",IFERROR(VLOOKUP(A442,Notificações!$A:$B,2,FALSE),"ID não encontrado"))</f>
        <v/>
      </c>
      <c r="C442" s="17" t="n"/>
      <c r="D442" s="17" t="n"/>
      <c r="E442" s="17">
        <f>IF(D442="","",IFERROR(VLOOKUP(D442,Catálogo!$A:$D,2,FALSE),"Código não está no Catálogo"))</f>
        <v/>
      </c>
      <c r="F442" s="17">
        <f>IF(D442="","",IFERROR(VLOOKUP(D442,Catálogo!$A:$D,4,FALSE),""))</f>
        <v/>
      </c>
      <c r="G442" s="17" t="n"/>
      <c r="H442" s="17">
        <f>IF(D442="",0,IF(COUNTIFS($A$2:A442,A442,$D$2:D442,D442)=1,1,0))</f>
        <v/>
      </c>
      <c r="I442" s="17" t="n"/>
      <c r="J442" s="17" t="n"/>
      <c r="K442" s="18" t="n"/>
      <c r="L442" s="17" t="n"/>
      <c r="M442">
        <f>IF(AND(B442&lt;&gt;"",B442='Por empresa'!$B$2),COUNTIF($B$2:B442,'Por empresa'!$B$2),"")</f>
        <v/>
      </c>
    </row>
    <row r="443">
      <c r="A443" s="17" t="n"/>
      <c r="B443" s="17">
        <f>IF(A443="","",IFERROR(VLOOKUP(A443,Notificações!$A:$B,2,FALSE),"ID não encontrado"))</f>
        <v/>
      </c>
      <c r="C443" s="17" t="n"/>
      <c r="D443" s="17" t="n"/>
      <c r="E443" s="17">
        <f>IF(D443="","",IFERROR(VLOOKUP(D443,Catálogo!$A:$D,2,FALSE),"Código não está no Catálogo"))</f>
        <v/>
      </c>
      <c r="F443" s="17">
        <f>IF(D443="","",IFERROR(VLOOKUP(D443,Catálogo!$A:$D,4,FALSE),""))</f>
        <v/>
      </c>
      <c r="G443" s="17" t="n"/>
      <c r="H443" s="17">
        <f>IF(D443="",0,IF(COUNTIFS($A$2:A443,A443,$D$2:D443,D443)=1,1,0))</f>
        <v/>
      </c>
      <c r="I443" s="17" t="n"/>
      <c r="J443" s="17" t="n"/>
      <c r="K443" s="18" t="n"/>
      <c r="L443" s="17" t="n"/>
      <c r="M443">
        <f>IF(AND(B443&lt;&gt;"",B443='Por empresa'!$B$2),COUNTIF($B$2:B443,'Por empresa'!$B$2),"")</f>
        <v/>
      </c>
    </row>
    <row r="444">
      <c r="A444" s="17" t="n"/>
      <c r="B444" s="17">
        <f>IF(A444="","",IFERROR(VLOOKUP(A444,Notificações!$A:$B,2,FALSE),"ID não encontrado"))</f>
        <v/>
      </c>
      <c r="C444" s="17" t="n"/>
      <c r="D444" s="17" t="n"/>
      <c r="E444" s="17">
        <f>IF(D444="","",IFERROR(VLOOKUP(D444,Catálogo!$A:$D,2,FALSE),"Código não está no Catálogo"))</f>
        <v/>
      </c>
      <c r="F444" s="17">
        <f>IF(D444="","",IFERROR(VLOOKUP(D444,Catálogo!$A:$D,4,FALSE),""))</f>
        <v/>
      </c>
      <c r="G444" s="17" t="n"/>
      <c r="H444" s="17">
        <f>IF(D444="",0,IF(COUNTIFS($A$2:A444,A444,$D$2:D444,D444)=1,1,0))</f>
        <v/>
      </c>
      <c r="I444" s="17" t="n"/>
      <c r="J444" s="17" t="n"/>
      <c r="K444" s="18" t="n"/>
      <c r="L444" s="17" t="n"/>
      <c r="M444">
        <f>IF(AND(B444&lt;&gt;"",B444='Por empresa'!$B$2),COUNTIF($B$2:B444,'Por empresa'!$B$2),"")</f>
        <v/>
      </c>
    </row>
    <row r="445">
      <c r="A445" s="17" t="n"/>
      <c r="B445" s="17">
        <f>IF(A445="","",IFERROR(VLOOKUP(A445,Notificações!$A:$B,2,FALSE),"ID não encontrado"))</f>
        <v/>
      </c>
      <c r="C445" s="17" t="n"/>
      <c r="D445" s="17" t="n"/>
      <c r="E445" s="17">
        <f>IF(D445="","",IFERROR(VLOOKUP(D445,Catálogo!$A:$D,2,FALSE),"Código não está no Catálogo"))</f>
        <v/>
      </c>
      <c r="F445" s="17">
        <f>IF(D445="","",IFERROR(VLOOKUP(D445,Catálogo!$A:$D,4,FALSE),""))</f>
        <v/>
      </c>
      <c r="G445" s="17" t="n"/>
      <c r="H445" s="17">
        <f>IF(D445="",0,IF(COUNTIFS($A$2:A445,A445,$D$2:D445,D445)=1,1,0))</f>
        <v/>
      </c>
      <c r="I445" s="17" t="n"/>
      <c r="J445" s="17" t="n"/>
      <c r="K445" s="18" t="n"/>
      <c r="L445" s="17" t="n"/>
      <c r="M445">
        <f>IF(AND(B445&lt;&gt;"",B445='Por empresa'!$B$2),COUNTIF($B$2:B445,'Por empresa'!$B$2),"")</f>
        <v/>
      </c>
    </row>
    <row r="446">
      <c r="A446" s="17" t="n"/>
      <c r="B446" s="17">
        <f>IF(A446="","",IFERROR(VLOOKUP(A446,Notificações!$A:$B,2,FALSE),"ID não encontrado"))</f>
        <v/>
      </c>
      <c r="C446" s="17" t="n"/>
      <c r="D446" s="17" t="n"/>
      <c r="E446" s="17">
        <f>IF(D446="","",IFERROR(VLOOKUP(D446,Catálogo!$A:$D,2,FALSE),"Código não está no Catálogo"))</f>
        <v/>
      </c>
      <c r="F446" s="17">
        <f>IF(D446="","",IFERROR(VLOOKUP(D446,Catálogo!$A:$D,4,FALSE),""))</f>
        <v/>
      </c>
      <c r="G446" s="17" t="n"/>
      <c r="H446" s="17">
        <f>IF(D446="",0,IF(COUNTIFS($A$2:A446,A446,$D$2:D446,D446)=1,1,0))</f>
        <v/>
      </c>
      <c r="I446" s="17" t="n"/>
      <c r="J446" s="17" t="n"/>
      <c r="K446" s="18" t="n"/>
      <c r="L446" s="17" t="n"/>
      <c r="M446">
        <f>IF(AND(B446&lt;&gt;"",B446='Por empresa'!$B$2),COUNTIF($B$2:B446,'Por empresa'!$B$2),"")</f>
        <v/>
      </c>
    </row>
    <row r="447">
      <c r="A447" s="17" t="n"/>
      <c r="B447" s="17">
        <f>IF(A447="","",IFERROR(VLOOKUP(A447,Notificações!$A:$B,2,FALSE),"ID não encontrado"))</f>
        <v/>
      </c>
      <c r="C447" s="17" t="n"/>
      <c r="D447" s="17" t="n"/>
      <c r="E447" s="17">
        <f>IF(D447="","",IFERROR(VLOOKUP(D447,Catálogo!$A:$D,2,FALSE),"Código não está no Catálogo"))</f>
        <v/>
      </c>
      <c r="F447" s="17">
        <f>IF(D447="","",IFERROR(VLOOKUP(D447,Catálogo!$A:$D,4,FALSE),""))</f>
        <v/>
      </c>
      <c r="G447" s="17" t="n"/>
      <c r="H447" s="17">
        <f>IF(D447="",0,IF(COUNTIFS($A$2:A447,A447,$D$2:D447,D447)=1,1,0))</f>
        <v/>
      </c>
      <c r="I447" s="17" t="n"/>
      <c r="J447" s="17" t="n"/>
      <c r="K447" s="18" t="n"/>
      <c r="L447" s="17" t="n"/>
      <c r="M447">
        <f>IF(AND(B447&lt;&gt;"",B447='Por empresa'!$B$2),COUNTIF($B$2:B447,'Por empresa'!$B$2),"")</f>
        <v/>
      </c>
    </row>
    <row r="448">
      <c r="A448" s="17" t="n"/>
      <c r="B448" s="17">
        <f>IF(A448="","",IFERROR(VLOOKUP(A448,Notificações!$A:$B,2,FALSE),"ID não encontrado"))</f>
        <v/>
      </c>
      <c r="C448" s="17" t="n"/>
      <c r="D448" s="17" t="n"/>
      <c r="E448" s="17">
        <f>IF(D448="","",IFERROR(VLOOKUP(D448,Catálogo!$A:$D,2,FALSE),"Código não está no Catálogo"))</f>
        <v/>
      </c>
      <c r="F448" s="17">
        <f>IF(D448="","",IFERROR(VLOOKUP(D448,Catálogo!$A:$D,4,FALSE),""))</f>
        <v/>
      </c>
      <c r="G448" s="17" t="n"/>
      <c r="H448" s="17">
        <f>IF(D448="",0,IF(COUNTIFS($A$2:A448,A448,$D$2:D448,D448)=1,1,0))</f>
        <v/>
      </c>
      <c r="I448" s="17" t="n"/>
      <c r="J448" s="17" t="n"/>
      <c r="K448" s="18" t="n"/>
      <c r="L448" s="17" t="n"/>
      <c r="M448">
        <f>IF(AND(B448&lt;&gt;"",B448='Por empresa'!$B$2),COUNTIF($B$2:B448,'Por empresa'!$B$2),"")</f>
        <v/>
      </c>
    </row>
    <row r="449">
      <c r="A449" s="17" t="n"/>
      <c r="B449" s="17">
        <f>IF(A449="","",IFERROR(VLOOKUP(A449,Notificações!$A:$B,2,FALSE),"ID não encontrado"))</f>
        <v/>
      </c>
      <c r="C449" s="17" t="n"/>
      <c r="D449" s="17" t="n"/>
      <c r="E449" s="17">
        <f>IF(D449="","",IFERROR(VLOOKUP(D449,Catálogo!$A:$D,2,FALSE),"Código não está no Catálogo"))</f>
        <v/>
      </c>
      <c r="F449" s="17">
        <f>IF(D449="","",IFERROR(VLOOKUP(D449,Catálogo!$A:$D,4,FALSE),""))</f>
        <v/>
      </c>
      <c r="G449" s="17" t="n"/>
      <c r="H449" s="17">
        <f>IF(D449="",0,IF(COUNTIFS($A$2:A449,A449,$D$2:D449,D449)=1,1,0))</f>
        <v/>
      </c>
      <c r="I449" s="17" t="n"/>
      <c r="J449" s="17" t="n"/>
      <c r="K449" s="18" t="n"/>
      <c r="L449" s="17" t="n"/>
      <c r="M449">
        <f>IF(AND(B449&lt;&gt;"",B449='Por empresa'!$B$2),COUNTIF($B$2:B449,'Por empresa'!$B$2),"")</f>
        <v/>
      </c>
    </row>
    <row r="450">
      <c r="A450" s="17" t="n"/>
      <c r="B450" s="17">
        <f>IF(A450="","",IFERROR(VLOOKUP(A450,Notificações!$A:$B,2,FALSE),"ID não encontrado"))</f>
        <v/>
      </c>
      <c r="C450" s="17" t="n"/>
      <c r="D450" s="17" t="n"/>
      <c r="E450" s="17">
        <f>IF(D450="","",IFERROR(VLOOKUP(D450,Catálogo!$A:$D,2,FALSE),"Código não está no Catálogo"))</f>
        <v/>
      </c>
      <c r="F450" s="17">
        <f>IF(D450="","",IFERROR(VLOOKUP(D450,Catálogo!$A:$D,4,FALSE),""))</f>
        <v/>
      </c>
      <c r="G450" s="17" t="n"/>
      <c r="H450" s="17">
        <f>IF(D450="",0,IF(COUNTIFS($A$2:A450,A450,$D$2:D450,D450)=1,1,0))</f>
        <v/>
      </c>
      <c r="I450" s="17" t="n"/>
      <c r="J450" s="17" t="n"/>
      <c r="K450" s="18" t="n"/>
      <c r="L450" s="17" t="n"/>
      <c r="M450">
        <f>IF(AND(B450&lt;&gt;"",B450='Por empresa'!$B$2),COUNTIF($B$2:B450,'Por empresa'!$B$2),"")</f>
        <v/>
      </c>
    </row>
    <row r="451">
      <c r="A451" s="17" t="n"/>
      <c r="B451" s="17">
        <f>IF(A451="","",IFERROR(VLOOKUP(A451,Notificações!$A:$B,2,FALSE),"ID não encontrado"))</f>
        <v/>
      </c>
      <c r="C451" s="17" t="n"/>
      <c r="D451" s="17" t="n"/>
      <c r="E451" s="17">
        <f>IF(D451="","",IFERROR(VLOOKUP(D451,Catálogo!$A:$D,2,FALSE),"Código não está no Catálogo"))</f>
        <v/>
      </c>
      <c r="F451" s="17">
        <f>IF(D451="","",IFERROR(VLOOKUP(D451,Catálogo!$A:$D,4,FALSE),""))</f>
        <v/>
      </c>
      <c r="G451" s="17" t="n"/>
      <c r="H451" s="17">
        <f>IF(D451="",0,IF(COUNTIFS($A$2:A451,A451,$D$2:D451,D451)=1,1,0))</f>
        <v/>
      </c>
      <c r="I451" s="17" t="n"/>
      <c r="J451" s="17" t="n"/>
      <c r="K451" s="18" t="n"/>
      <c r="L451" s="17" t="n"/>
      <c r="M451">
        <f>IF(AND(B451&lt;&gt;"",B451='Por empresa'!$B$2),COUNTIF($B$2:B451,'Por empresa'!$B$2),"")</f>
        <v/>
      </c>
    </row>
    <row r="452">
      <c r="A452" s="17" t="n"/>
      <c r="B452" s="17">
        <f>IF(A452="","",IFERROR(VLOOKUP(A452,Notificações!$A:$B,2,FALSE),"ID não encontrado"))</f>
        <v/>
      </c>
      <c r="C452" s="17" t="n"/>
      <c r="D452" s="17" t="n"/>
      <c r="E452" s="17">
        <f>IF(D452="","",IFERROR(VLOOKUP(D452,Catálogo!$A:$D,2,FALSE),"Código não está no Catálogo"))</f>
        <v/>
      </c>
      <c r="F452" s="17">
        <f>IF(D452="","",IFERROR(VLOOKUP(D452,Catálogo!$A:$D,4,FALSE),""))</f>
        <v/>
      </c>
      <c r="G452" s="17" t="n"/>
      <c r="H452" s="17">
        <f>IF(D452="",0,IF(COUNTIFS($A$2:A452,A452,$D$2:D452,D452)=1,1,0))</f>
        <v/>
      </c>
      <c r="I452" s="17" t="n"/>
      <c r="J452" s="17" t="n"/>
      <c r="K452" s="18" t="n"/>
      <c r="L452" s="17" t="n"/>
      <c r="M452">
        <f>IF(AND(B452&lt;&gt;"",B452='Por empresa'!$B$2),COUNTIF($B$2:B452,'Por empresa'!$B$2),"")</f>
        <v/>
      </c>
    </row>
    <row r="453">
      <c r="A453" s="17" t="n"/>
      <c r="B453" s="17">
        <f>IF(A453="","",IFERROR(VLOOKUP(A453,Notificações!$A:$B,2,FALSE),"ID não encontrado"))</f>
        <v/>
      </c>
      <c r="C453" s="17" t="n"/>
      <c r="D453" s="17" t="n"/>
      <c r="E453" s="17">
        <f>IF(D453="","",IFERROR(VLOOKUP(D453,Catálogo!$A:$D,2,FALSE),"Código não está no Catálogo"))</f>
        <v/>
      </c>
      <c r="F453" s="17">
        <f>IF(D453="","",IFERROR(VLOOKUP(D453,Catálogo!$A:$D,4,FALSE),""))</f>
        <v/>
      </c>
      <c r="G453" s="17" t="n"/>
      <c r="H453" s="17">
        <f>IF(D453="",0,IF(COUNTIFS($A$2:A453,A453,$D$2:D453,D453)=1,1,0))</f>
        <v/>
      </c>
      <c r="I453" s="17" t="n"/>
      <c r="J453" s="17" t="n"/>
      <c r="K453" s="18" t="n"/>
      <c r="L453" s="17" t="n"/>
      <c r="M453">
        <f>IF(AND(B453&lt;&gt;"",B453='Por empresa'!$B$2),COUNTIF($B$2:B453,'Por empresa'!$B$2),"")</f>
        <v/>
      </c>
    </row>
    <row r="454">
      <c r="A454" s="17" t="n"/>
      <c r="B454" s="17">
        <f>IF(A454="","",IFERROR(VLOOKUP(A454,Notificações!$A:$B,2,FALSE),"ID não encontrado"))</f>
        <v/>
      </c>
      <c r="C454" s="17" t="n"/>
      <c r="D454" s="17" t="n"/>
      <c r="E454" s="17">
        <f>IF(D454="","",IFERROR(VLOOKUP(D454,Catálogo!$A:$D,2,FALSE),"Código não está no Catálogo"))</f>
        <v/>
      </c>
      <c r="F454" s="17">
        <f>IF(D454="","",IFERROR(VLOOKUP(D454,Catálogo!$A:$D,4,FALSE),""))</f>
        <v/>
      </c>
      <c r="G454" s="17" t="n"/>
      <c r="H454" s="17">
        <f>IF(D454="",0,IF(COUNTIFS($A$2:A454,A454,$D$2:D454,D454)=1,1,0))</f>
        <v/>
      </c>
      <c r="I454" s="17" t="n"/>
      <c r="J454" s="17" t="n"/>
      <c r="K454" s="18" t="n"/>
      <c r="L454" s="17" t="n"/>
      <c r="M454">
        <f>IF(AND(B454&lt;&gt;"",B454='Por empresa'!$B$2),COUNTIF($B$2:B454,'Por empresa'!$B$2),"")</f>
        <v/>
      </c>
    </row>
    <row r="455">
      <c r="A455" s="17" t="n"/>
      <c r="B455" s="17">
        <f>IF(A455="","",IFERROR(VLOOKUP(A455,Notificações!$A:$B,2,FALSE),"ID não encontrado"))</f>
        <v/>
      </c>
      <c r="C455" s="17" t="n"/>
      <c r="D455" s="17" t="n"/>
      <c r="E455" s="17">
        <f>IF(D455="","",IFERROR(VLOOKUP(D455,Catálogo!$A:$D,2,FALSE),"Código não está no Catálogo"))</f>
        <v/>
      </c>
      <c r="F455" s="17">
        <f>IF(D455="","",IFERROR(VLOOKUP(D455,Catálogo!$A:$D,4,FALSE),""))</f>
        <v/>
      </c>
      <c r="G455" s="17" t="n"/>
      <c r="H455" s="17">
        <f>IF(D455="",0,IF(COUNTIFS($A$2:A455,A455,$D$2:D455,D455)=1,1,0))</f>
        <v/>
      </c>
      <c r="I455" s="17" t="n"/>
      <c r="J455" s="17" t="n"/>
      <c r="K455" s="18" t="n"/>
      <c r="L455" s="17" t="n"/>
      <c r="M455">
        <f>IF(AND(B455&lt;&gt;"",B455='Por empresa'!$B$2),COUNTIF($B$2:B455,'Por empresa'!$B$2),"")</f>
        <v/>
      </c>
    </row>
    <row r="456">
      <c r="A456" s="17" t="n"/>
      <c r="B456" s="17">
        <f>IF(A456="","",IFERROR(VLOOKUP(A456,Notificações!$A:$B,2,FALSE),"ID não encontrado"))</f>
        <v/>
      </c>
      <c r="C456" s="17" t="n"/>
      <c r="D456" s="17" t="n"/>
      <c r="E456" s="17">
        <f>IF(D456="","",IFERROR(VLOOKUP(D456,Catálogo!$A:$D,2,FALSE),"Código não está no Catálogo"))</f>
        <v/>
      </c>
      <c r="F456" s="17">
        <f>IF(D456="","",IFERROR(VLOOKUP(D456,Catálogo!$A:$D,4,FALSE),""))</f>
        <v/>
      </c>
      <c r="G456" s="17" t="n"/>
      <c r="H456" s="17">
        <f>IF(D456="",0,IF(COUNTIFS($A$2:A456,A456,$D$2:D456,D456)=1,1,0))</f>
        <v/>
      </c>
      <c r="I456" s="17" t="n"/>
      <c r="J456" s="17" t="n"/>
      <c r="K456" s="18" t="n"/>
      <c r="L456" s="17" t="n"/>
      <c r="M456">
        <f>IF(AND(B456&lt;&gt;"",B456='Por empresa'!$B$2),COUNTIF($B$2:B456,'Por empresa'!$B$2),"")</f>
        <v/>
      </c>
    </row>
    <row r="457">
      <c r="A457" s="17" t="n"/>
      <c r="B457" s="17">
        <f>IF(A457="","",IFERROR(VLOOKUP(A457,Notificações!$A:$B,2,FALSE),"ID não encontrado"))</f>
        <v/>
      </c>
      <c r="C457" s="17" t="n"/>
      <c r="D457" s="17" t="n"/>
      <c r="E457" s="17">
        <f>IF(D457="","",IFERROR(VLOOKUP(D457,Catálogo!$A:$D,2,FALSE),"Código não está no Catálogo"))</f>
        <v/>
      </c>
      <c r="F457" s="17">
        <f>IF(D457="","",IFERROR(VLOOKUP(D457,Catálogo!$A:$D,4,FALSE),""))</f>
        <v/>
      </c>
      <c r="G457" s="17" t="n"/>
      <c r="H457" s="17">
        <f>IF(D457="",0,IF(COUNTIFS($A$2:A457,A457,$D$2:D457,D457)=1,1,0))</f>
        <v/>
      </c>
      <c r="I457" s="17" t="n"/>
      <c r="J457" s="17" t="n"/>
      <c r="K457" s="18" t="n"/>
      <c r="L457" s="17" t="n"/>
      <c r="M457">
        <f>IF(AND(B457&lt;&gt;"",B457='Por empresa'!$B$2),COUNTIF($B$2:B457,'Por empresa'!$B$2),"")</f>
        <v/>
      </c>
    </row>
    <row r="458">
      <c r="A458" s="17" t="n"/>
      <c r="B458" s="17">
        <f>IF(A458="","",IFERROR(VLOOKUP(A458,Notificações!$A:$B,2,FALSE),"ID não encontrado"))</f>
        <v/>
      </c>
      <c r="C458" s="17" t="n"/>
      <c r="D458" s="17" t="n"/>
      <c r="E458" s="17">
        <f>IF(D458="","",IFERROR(VLOOKUP(D458,Catálogo!$A:$D,2,FALSE),"Código não está no Catálogo"))</f>
        <v/>
      </c>
      <c r="F458" s="17">
        <f>IF(D458="","",IFERROR(VLOOKUP(D458,Catálogo!$A:$D,4,FALSE),""))</f>
        <v/>
      </c>
      <c r="G458" s="17" t="n"/>
      <c r="H458" s="17">
        <f>IF(D458="",0,IF(COUNTIFS($A$2:A458,A458,$D$2:D458,D458)=1,1,0))</f>
        <v/>
      </c>
      <c r="I458" s="17" t="n"/>
      <c r="J458" s="17" t="n"/>
      <c r="K458" s="18" t="n"/>
      <c r="L458" s="17" t="n"/>
      <c r="M458">
        <f>IF(AND(B458&lt;&gt;"",B458='Por empresa'!$B$2),COUNTIF($B$2:B458,'Por empresa'!$B$2),"")</f>
        <v/>
      </c>
    </row>
    <row r="459">
      <c r="A459" s="17" t="n"/>
      <c r="B459" s="17">
        <f>IF(A459="","",IFERROR(VLOOKUP(A459,Notificações!$A:$B,2,FALSE),"ID não encontrado"))</f>
        <v/>
      </c>
      <c r="C459" s="17" t="n"/>
      <c r="D459" s="17" t="n"/>
      <c r="E459" s="17">
        <f>IF(D459="","",IFERROR(VLOOKUP(D459,Catálogo!$A:$D,2,FALSE),"Código não está no Catálogo"))</f>
        <v/>
      </c>
      <c r="F459" s="17">
        <f>IF(D459="","",IFERROR(VLOOKUP(D459,Catálogo!$A:$D,4,FALSE),""))</f>
        <v/>
      </c>
      <c r="G459" s="17" t="n"/>
      <c r="H459" s="17">
        <f>IF(D459="",0,IF(COUNTIFS($A$2:A459,A459,$D$2:D459,D459)=1,1,0))</f>
        <v/>
      </c>
      <c r="I459" s="17" t="n"/>
      <c r="J459" s="17" t="n"/>
      <c r="K459" s="18" t="n"/>
      <c r="L459" s="17" t="n"/>
      <c r="M459">
        <f>IF(AND(B459&lt;&gt;"",B459='Por empresa'!$B$2),COUNTIF($B$2:B459,'Por empresa'!$B$2),"")</f>
        <v/>
      </c>
    </row>
    <row r="460">
      <c r="A460" s="17" t="n"/>
      <c r="B460" s="17">
        <f>IF(A460="","",IFERROR(VLOOKUP(A460,Notificações!$A:$B,2,FALSE),"ID não encontrado"))</f>
        <v/>
      </c>
      <c r="C460" s="17" t="n"/>
      <c r="D460" s="17" t="n"/>
      <c r="E460" s="17">
        <f>IF(D460="","",IFERROR(VLOOKUP(D460,Catálogo!$A:$D,2,FALSE),"Código não está no Catálogo"))</f>
        <v/>
      </c>
      <c r="F460" s="17">
        <f>IF(D460="","",IFERROR(VLOOKUP(D460,Catálogo!$A:$D,4,FALSE),""))</f>
        <v/>
      </c>
      <c r="G460" s="17" t="n"/>
      <c r="H460" s="17">
        <f>IF(D460="",0,IF(COUNTIFS($A$2:A460,A460,$D$2:D460,D460)=1,1,0))</f>
        <v/>
      </c>
      <c r="I460" s="17" t="n"/>
      <c r="J460" s="17" t="n"/>
      <c r="K460" s="18" t="n"/>
      <c r="L460" s="17" t="n"/>
      <c r="M460">
        <f>IF(AND(B460&lt;&gt;"",B460='Por empresa'!$B$2),COUNTIF($B$2:B460,'Por empresa'!$B$2),"")</f>
        <v/>
      </c>
    </row>
    <row r="461">
      <c r="A461" s="17" t="n"/>
      <c r="B461" s="17">
        <f>IF(A461="","",IFERROR(VLOOKUP(A461,Notificações!$A:$B,2,FALSE),"ID não encontrado"))</f>
        <v/>
      </c>
      <c r="C461" s="17" t="n"/>
      <c r="D461" s="17" t="n"/>
      <c r="E461" s="17">
        <f>IF(D461="","",IFERROR(VLOOKUP(D461,Catálogo!$A:$D,2,FALSE),"Código não está no Catálogo"))</f>
        <v/>
      </c>
      <c r="F461" s="17">
        <f>IF(D461="","",IFERROR(VLOOKUP(D461,Catálogo!$A:$D,4,FALSE),""))</f>
        <v/>
      </c>
      <c r="G461" s="17" t="n"/>
      <c r="H461" s="17">
        <f>IF(D461="",0,IF(COUNTIFS($A$2:A461,A461,$D$2:D461,D461)=1,1,0))</f>
        <v/>
      </c>
      <c r="I461" s="17" t="n"/>
      <c r="J461" s="17" t="n"/>
      <c r="K461" s="18" t="n"/>
      <c r="L461" s="17" t="n"/>
      <c r="M461">
        <f>IF(AND(B461&lt;&gt;"",B461='Por empresa'!$B$2),COUNTIF($B$2:B461,'Por empresa'!$B$2),"")</f>
        <v/>
      </c>
    </row>
    <row r="462">
      <c r="A462" s="17" t="n"/>
      <c r="B462" s="17">
        <f>IF(A462="","",IFERROR(VLOOKUP(A462,Notificações!$A:$B,2,FALSE),"ID não encontrado"))</f>
        <v/>
      </c>
      <c r="C462" s="17" t="n"/>
      <c r="D462" s="17" t="n"/>
      <c r="E462" s="17">
        <f>IF(D462="","",IFERROR(VLOOKUP(D462,Catálogo!$A:$D,2,FALSE),"Código não está no Catálogo"))</f>
        <v/>
      </c>
      <c r="F462" s="17">
        <f>IF(D462="","",IFERROR(VLOOKUP(D462,Catálogo!$A:$D,4,FALSE),""))</f>
        <v/>
      </c>
      <c r="G462" s="17" t="n"/>
      <c r="H462" s="17">
        <f>IF(D462="",0,IF(COUNTIFS($A$2:A462,A462,$D$2:D462,D462)=1,1,0))</f>
        <v/>
      </c>
      <c r="I462" s="17" t="n"/>
      <c r="J462" s="17" t="n"/>
      <c r="K462" s="18" t="n"/>
      <c r="L462" s="17" t="n"/>
      <c r="M462">
        <f>IF(AND(B462&lt;&gt;"",B462='Por empresa'!$B$2),COUNTIF($B$2:B462,'Por empresa'!$B$2),"")</f>
        <v/>
      </c>
    </row>
    <row r="463">
      <c r="A463" s="17" t="n"/>
      <c r="B463" s="17">
        <f>IF(A463="","",IFERROR(VLOOKUP(A463,Notificações!$A:$B,2,FALSE),"ID não encontrado"))</f>
        <v/>
      </c>
      <c r="C463" s="17" t="n"/>
      <c r="D463" s="17" t="n"/>
      <c r="E463" s="17">
        <f>IF(D463="","",IFERROR(VLOOKUP(D463,Catálogo!$A:$D,2,FALSE),"Código não está no Catálogo"))</f>
        <v/>
      </c>
      <c r="F463" s="17">
        <f>IF(D463="","",IFERROR(VLOOKUP(D463,Catálogo!$A:$D,4,FALSE),""))</f>
        <v/>
      </c>
      <c r="G463" s="17" t="n"/>
      <c r="H463" s="17">
        <f>IF(D463="",0,IF(COUNTIFS($A$2:A463,A463,$D$2:D463,D463)=1,1,0))</f>
        <v/>
      </c>
      <c r="I463" s="17" t="n"/>
      <c r="J463" s="17" t="n"/>
      <c r="K463" s="18" t="n"/>
      <c r="L463" s="17" t="n"/>
      <c r="M463">
        <f>IF(AND(B463&lt;&gt;"",B463='Por empresa'!$B$2),COUNTIF($B$2:B463,'Por empresa'!$B$2),"")</f>
        <v/>
      </c>
    </row>
    <row r="464">
      <c r="A464" s="17" t="n"/>
      <c r="B464" s="17">
        <f>IF(A464="","",IFERROR(VLOOKUP(A464,Notificações!$A:$B,2,FALSE),"ID não encontrado"))</f>
        <v/>
      </c>
      <c r="C464" s="17" t="n"/>
      <c r="D464" s="17" t="n"/>
      <c r="E464" s="17">
        <f>IF(D464="","",IFERROR(VLOOKUP(D464,Catálogo!$A:$D,2,FALSE),"Código não está no Catálogo"))</f>
        <v/>
      </c>
      <c r="F464" s="17">
        <f>IF(D464="","",IFERROR(VLOOKUP(D464,Catálogo!$A:$D,4,FALSE),""))</f>
        <v/>
      </c>
      <c r="G464" s="17" t="n"/>
      <c r="H464" s="17">
        <f>IF(D464="",0,IF(COUNTIFS($A$2:A464,A464,$D$2:D464,D464)=1,1,0))</f>
        <v/>
      </c>
      <c r="I464" s="17" t="n"/>
      <c r="J464" s="17" t="n"/>
      <c r="K464" s="18" t="n"/>
      <c r="L464" s="17" t="n"/>
      <c r="M464">
        <f>IF(AND(B464&lt;&gt;"",B464='Por empresa'!$B$2),COUNTIF($B$2:B464,'Por empresa'!$B$2),"")</f>
        <v/>
      </c>
    </row>
    <row r="465">
      <c r="A465" s="17" t="n"/>
      <c r="B465" s="17">
        <f>IF(A465="","",IFERROR(VLOOKUP(A465,Notificações!$A:$B,2,FALSE),"ID não encontrado"))</f>
        <v/>
      </c>
      <c r="C465" s="17" t="n"/>
      <c r="D465" s="17" t="n"/>
      <c r="E465" s="17">
        <f>IF(D465="","",IFERROR(VLOOKUP(D465,Catálogo!$A:$D,2,FALSE),"Código não está no Catálogo"))</f>
        <v/>
      </c>
      <c r="F465" s="17">
        <f>IF(D465="","",IFERROR(VLOOKUP(D465,Catálogo!$A:$D,4,FALSE),""))</f>
        <v/>
      </c>
      <c r="G465" s="17" t="n"/>
      <c r="H465" s="17">
        <f>IF(D465="",0,IF(COUNTIFS($A$2:A465,A465,$D$2:D465,D465)=1,1,0))</f>
        <v/>
      </c>
      <c r="I465" s="17" t="n"/>
      <c r="J465" s="17" t="n"/>
      <c r="K465" s="18" t="n"/>
      <c r="L465" s="17" t="n"/>
      <c r="M465">
        <f>IF(AND(B465&lt;&gt;"",B465='Por empresa'!$B$2),COUNTIF($B$2:B465,'Por empresa'!$B$2),"")</f>
        <v/>
      </c>
    </row>
    <row r="466">
      <c r="A466" s="17" t="n"/>
      <c r="B466" s="17">
        <f>IF(A466="","",IFERROR(VLOOKUP(A466,Notificações!$A:$B,2,FALSE),"ID não encontrado"))</f>
        <v/>
      </c>
      <c r="C466" s="17" t="n"/>
      <c r="D466" s="17" t="n"/>
      <c r="E466" s="17">
        <f>IF(D466="","",IFERROR(VLOOKUP(D466,Catálogo!$A:$D,2,FALSE),"Código não está no Catálogo"))</f>
        <v/>
      </c>
      <c r="F466" s="17">
        <f>IF(D466="","",IFERROR(VLOOKUP(D466,Catálogo!$A:$D,4,FALSE),""))</f>
        <v/>
      </c>
      <c r="G466" s="17" t="n"/>
      <c r="H466" s="17">
        <f>IF(D466="",0,IF(COUNTIFS($A$2:A466,A466,$D$2:D466,D466)=1,1,0))</f>
        <v/>
      </c>
      <c r="I466" s="17" t="n"/>
      <c r="J466" s="17" t="n"/>
      <c r="K466" s="18" t="n"/>
      <c r="L466" s="17" t="n"/>
      <c r="M466">
        <f>IF(AND(B466&lt;&gt;"",B466='Por empresa'!$B$2),COUNTIF($B$2:B466,'Por empresa'!$B$2),"")</f>
        <v/>
      </c>
    </row>
    <row r="467">
      <c r="A467" s="17" t="n"/>
      <c r="B467" s="17">
        <f>IF(A467="","",IFERROR(VLOOKUP(A467,Notificações!$A:$B,2,FALSE),"ID não encontrado"))</f>
        <v/>
      </c>
      <c r="C467" s="17" t="n"/>
      <c r="D467" s="17" t="n"/>
      <c r="E467" s="17">
        <f>IF(D467="","",IFERROR(VLOOKUP(D467,Catálogo!$A:$D,2,FALSE),"Código não está no Catálogo"))</f>
        <v/>
      </c>
      <c r="F467" s="17">
        <f>IF(D467="","",IFERROR(VLOOKUP(D467,Catálogo!$A:$D,4,FALSE),""))</f>
        <v/>
      </c>
      <c r="G467" s="17" t="n"/>
      <c r="H467" s="17">
        <f>IF(D467="",0,IF(COUNTIFS($A$2:A467,A467,$D$2:D467,D467)=1,1,0))</f>
        <v/>
      </c>
      <c r="I467" s="17" t="n"/>
      <c r="J467" s="17" t="n"/>
      <c r="K467" s="18" t="n"/>
      <c r="L467" s="17" t="n"/>
      <c r="M467">
        <f>IF(AND(B467&lt;&gt;"",B467='Por empresa'!$B$2),COUNTIF($B$2:B467,'Por empresa'!$B$2),"")</f>
        <v/>
      </c>
    </row>
    <row r="468">
      <c r="A468" s="17" t="n"/>
      <c r="B468" s="17">
        <f>IF(A468="","",IFERROR(VLOOKUP(A468,Notificações!$A:$B,2,FALSE),"ID não encontrado"))</f>
        <v/>
      </c>
      <c r="C468" s="17" t="n"/>
      <c r="D468" s="17" t="n"/>
      <c r="E468" s="17">
        <f>IF(D468="","",IFERROR(VLOOKUP(D468,Catálogo!$A:$D,2,FALSE),"Código não está no Catálogo"))</f>
        <v/>
      </c>
      <c r="F468" s="17">
        <f>IF(D468="","",IFERROR(VLOOKUP(D468,Catálogo!$A:$D,4,FALSE),""))</f>
        <v/>
      </c>
      <c r="G468" s="17" t="n"/>
      <c r="H468" s="17">
        <f>IF(D468="",0,IF(COUNTIFS($A$2:A468,A468,$D$2:D468,D468)=1,1,0))</f>
        <v/>
      </c>
      <c r="I468" s="17" t="n"/>
      <c r="J468" s="17" t="n"/>
      <c r="K468" s="18" t="n"/>
      <c r="L468" s="17" t="n"/>
      <c r="M468">
        <f>IF(AND(B468&lt;&gt;"",B468='Por empresa'!$B$2),COUNTIF($B$2:B468,'Por empresa'!$B$2),"")</f>
        <v/>
      </c>
    </row>
    <row r="469">
      <c r="A469" s="17" t="n"/>
      <c r="B469" s="17">
        <f>IF(A469="","",IFERROR(VLOOKUP(A469,Notificações!$A:$B,2,FALSE),"ID não encontrado"))</f>
        <v/>
      </c>
      <c r="C469" s="17" t="n"/>
      <c r="D469" s="17" t="n"/>
      <c r="E469" s="17">
        <f>IF(D469="","",IFERROR(VLOOKUP(D469,Catálogo!$A:$D,2,FALSE),"Código não está no Catálogo"))</f>
        <v/>
      </c>
      <c r="F469" s="17">
        <f>IF(D469="","",IFERROR(VLOOKUP(D469,Catálogo!$A:$D,4,FALSE),""))</f>
        <v/>
      </c>
      <c r="G469" s="17" t="n"/>
      <c r="H469" s="17">
        <f>IF(D469="",0,IF(COUNTIFS($A$2:A469,A469,$D$2:D469,D469)=1,1,0))</f>
        <v/>
      </c>
      <c r="I469" s="17" t="n"/>
      <c r="J469" s="17" t="n"/>
      <c r="K469" s="18" t="n"/>
      <c r="L469" s="17" t="n"/>
      <c r="M469">
        <f>IF(AND(B469&lt;&gt;"",B469='Por empresa'!$B$2),COUNTIF($B$2:B469,'Por empresa'!$B$2),"")</f>
        <v/>
      </c>
    </row>
    <row r="470">
      <c r="A470" s="17" t="n"/>
      <c r="B470" s="17">
        <f>IF(A470="","",IFERROR(VLOOKUP(A470,Notificações!$A:$B,2,FALSE),"ID não encontrado"))</f>
        <v/>
      </c>
      <c r="C470" s="17" t="n"/>
      <c r="D470" s="17" t="n"/>
      <c r="E470" s="17">
        <f>IF(D470="","",IFERROR(VLOOKUP(D470,Catálogo!$A:$D,2,FALSE),"Código não está no Catálogo"))</f>
        <v/>
      </c>
      <c r="F470" s="17">
        <f>IF(D470="","",IFERROR(VLOOKUP(D470,Catálogo!$A:$D,4,FALSE),""))</f>
        <v/>
      </c>
      <c r="G470" s="17" t="n"/>
      <c r="H470" s="17">
        <f>IF(D470="",0,IF(COUNTIFS($A$2:A470,A470,$D$2:D470,D470)=1,1,0))</f>
        <v/>
      </c>
      <c r="I470" s="17" t="n"/>
      <c r="J470" s="17" t="n"/>
      <c r="K470" s="18" t="n"/>
      <c r="L470" s="17" t="n"/>
      <c r="M470">
        <f>IF(AND(B470&lt;&gt;"",B470='Por empresa'!$B$2),COUNTIF($B$2:B470,'Por empresa'!$B$2),"")</f>
        <v/>
      </c>
    </row>
    <row r="471">
      <c r="A471" s="17" t="n"/>
      <c r="B471" s="17">
        <f>IF(A471="","",IFERROR(VLOOKUP(A471,Notificações!$A:$B,2,FALSE),"ID não encontrado"))</f>
        <v/>
      </c>
      <c r="C471" s="17" t="n"/>
      <c r="D471" s="17" t="n"/>
      <c r="E471" s="17">
        <f>IF(D471="","",IFERROR(VLOOKUP(D471,Catálogo!$A:$D,2,FALSE),"Código não está no Catálogo"))</f>
        <v/>
      </c>
      <c r="F471" s="17">
        <f>IF(D471="","",IFERROR(VLOOKUP(D471,Catálogo!$A:$D,4,FALSE),""))</f>
        <v/>
      </c>
      <c r="G471" s="17" t="n"/>
      <c r="H471" s="17">
        <f>IF(D471="",0,IF(COUNTIFS($A$2:A471,A471,$D$2:D471,D471)=1,1,0))</f>
        <v/>
      </c>
      <c r="I471" s="17" t="n"/>
      <c r="J471" s="17" t="n"/>
      <c r="K471" s="18" t="n"/>
      <c r="L471" s="17" t="n"/>
      <c r="M471">
        <f>IF(AND(B471&lt;&gt;"",B471='Por empresa'!$B$2),COUNTIF($B$2:B471,'Por empresa'!$B$2),"")</f>
        <v/>
      </c>
    </row>
    <row r="472">
      <c r="A472" s="17" t="n"/>
      <c r="B472" s="17">
        <f>IF(A472="","",IFERROR(VLOOKUP(A472,Notificações!$A:$B,2,FALSE),"ID não encontrado"))</f>
        <v/>
      </c>
      <c r="C472" s="17" t="n"/>
      <c r="D472" s="17" t="n"/>
      <c r="E472" s="17">
        <f>IF(D472="","",IFERROR(VLOOKUP(D472,Catálogo!$A:$D,2,FALSE),"Código não está no Catálogo"))</f>
        <v/>
      </c>
      <c r="F472" s="17">
        <f>IF(D472="","",IFERROR(VLOOKUP(D472,Catálogo!$A:$D,4,FALSE),""))</f>
        <v/>
      </c>
      <c r="G472" s="17" t="n"/>
      <c r="H472" s="17">
        <f>IF(D472="",0,IF(COUNTIFS($A$2:A472,A472,$D$2:D472,D472)=1,1,0))</f>
        <v/>
      </c>
      <c r="I472" s="17" t="n"/>
      <c r="J472" s="17" t="n"/>
      <c r="K472" s="18" t="n"/>
      <c r="L472" s="17" t="n"/>
      <c r="M472">
        <f>IF(AND(B472&lt;&gt;"",B472='Por empresa'!$B$2),COUNTIF($B$2:B472,'Por empresa'!$B$2),"")</f>
        <v/>
      </c>
    </row>
    <row r="473">
      <c r="A473" s="17" t="n"/>
      <c r="B473" s="17">
        <f>IF(A473="","",IFERROR(VLOOKUP(A473,Notificações!$A:$B,2,FALSE),"ID não encontrado"))</f>
        <v/>
      </c>
      <c r="C473" s="17" t="n"/>
      <c r="D473" s="17" t="n"/>
      <c r="E473" s="17">
        <f>IF(D473="","",IFERROR(VLOOKUP(D473,Catálogo!$A:$D,2,FALSE),"Código não está no Catálogo"))</f>
        <v/>
      </c>
      <c r="F473" s="17">
        <f>IF(D473="","",IFERROR(VLOOKUP(D473,Catálogo!$A:$D,4,FALSE),""))</f>
        <v/>
      </c>
      <c r="G473" s="17" t="n"/>
      <c r="H473" s="17">
        <f>IF(D473="",0,IF(COUNTIFS($A$2:A473,A473,$D$2:D473,D473)=1,1,0))</f>
        <v/>
      </c>
      <c r="I473" s="17" t="n"/>
      <c r="J473" s="17" t="n"/>
      <c r="K473" s="18" t="n"/>
      <c r="L473" s="17" t="n"/>
      <c r="M473">
        <f>IF(AND(B473&lt;&gt;"",B473='Por empresa'!$B$2),COUNTIF($B$2:B473,'Por empresa'!$B$2),"")</f>
        <v/>
      </c>
    </row>
    <row r="474">
      <c r="A474" s="17" t="n"/>
      <c r="B474" s="17">
        <f>IF(A474="","",IFERROR(VLOOKUP(A474,Notificações!$A:$B,2,FALSE),"ID não encontrado"))</f>
        <v/>
      </c>
      <c r="C474" s="17" t="n"/>
      <c r="D474" s="17" t="n"/>
      <c r="E474" s="17">
        <f>IF(D474="","",IFERROR(VLOOKUP(D474,Catálogo!$A:$D,2,FALSE),"Código não está no Catálogo"))</f>
        <v/>
      </c>
      <c r="F474" s="17">
        <f>IF(D474="","",IFERROR(VLOOKUP(D474,Catálogo!$A:$D,4,FALSE),""))</f>
        <v/>
      </c>
      <c r="G474" s="17" t="n"/>
      <c r="H474" s="17">
        <f>IF(D474="",0,IF(COUNTIFS($A$2:A474,A474,$D$2:D474,D474)=1,1,0))</f>
        <v/>
      </c>
      <c r="I474" s="17" t="n"/>
      <c r="J474" s="17" t="n"/>
      <c r="K474" s="18" t="n"/>
      <c r="L474" s="17" t="n"/>
      <c r="M474">
        <f>IF(AND(B474&lt;&gt;"",B474='Por empresa'!$B$2),COUNTIF($B$2:B474,'Por empresa'!$B$2),"")</f>
        <v/>
      </c>
    </row>
    <row r="475">
      <c r="A475" s="17" t="n"/>
      <c r="B475" s="17">
        <f>IF(A475="","",IFERROR(VLOOKUP(A475,Notificações!$A:$B,2,FALSE),"ID não encontrado"))</f>
        <v/>
      </c>
      <c r="C475" s="17" t="n"/>
      <c r="D475" s="17" t="n"/>
      <c r="E475" s="17">
        <f>IF(D475="","",IFERROR(VLOOKUP(D475,Catálogo!$A:$D,2,FALSE),"Código não está no Catálogo"))</f>
        <v/>
      </c>
      <c r="F475" s="17">
        <f>IF(D475="","",IFERROR(VLOOKUP(D475,Catálogo!$A:$D,4,FALSE),""))</f>
        <v/>
      </c>
      <c r="G475" s="17" t="n"/>
      <c r="H475" s="17">
        <f>IF(D475="",0,IF(COUNTIFS($A$2:A475,A475,$D$2:D475,D475)=1,1,0))</f>
        <v/>
      </c>
      <c r="I475" s="17" t="n"/>
      <c r="J475" s="17" t="n"/>
      <c r="K475" s="18" t="n"/>
      <c r="L475" s="17" t="n"/>
      <c r="M475">
        <f>IF(AND(B475&lt;&gt;"",B475='Por empresa'!$B$2),COUNTIF($B$2:B475,'Por empresa'!$B$2),"")</f>
        <v/>
      </c>
    </row>
    <row r="476">
      <c r="A476" s="17" t="n"/>
      <c r="B476" s="17">
        <f>IF(A476="","",IFERROR(VLOOKUP(A476,Notificações!$A:$B,2,FALSE),"ID não encontrado"))</f>
        <v/>
      </c>
      <c r="C476" s="17" t="n"/>
      <c r="D476" s="17" t="n"/>
      <c r="E476" s="17">
        <f>IF(D476="","",IFERROR(VLOOKUP(D476,Catálogo!$A:$D,2,FALSE),"Código não está no Catálogo"))</f>
        <v/>
      </c>
      <c r="F476" s="17">
        <f>IF(D476="","",IFERROR(VLOOKUP(D476,Catálogo!$A:$D,4,FALSE),""))</f>
        <v/>
      </c>
      <c r="G476" s="17" t="n"/>
      <c r="H476" s="17">
        <f>IF(D476="",0,IF(COUNTIFS($A$2:A476,A476,$D$2:D476,D476)=1,1,0))</f>
        <v/>
      </c>
      <c r="I476" s="17" t="n"/>
      <c r="J476" s="17" t="n"/>
      <c r="K476" s="18" t="n"/>
      <c r="L476" s="17" t="n"/>
      <c r="M476">
        <f>IF(AND(B476&lt;&gt;"",B476='Por empresa'!$B$2),COUNTIF($B$2:B476,'Por empresa'!$B$2),"")</f>
        <v/>
      </c>
    </row>
    <row r="477">
      <c r="A477" s="17" t="n"/>
      <c r="B477" s="17">
        <f>IF(A477="","",IFERROR(VLOOKUP(A477,Notificações!$A:$B,2,FALSE),"ID não encontrado"))</f>
        <v/>
      </c>
      <c r="C477" s="17" t="n"/>
      <c r="D477" s="17" t="n"/>
      <c r="E477" s="17">
        <f>IF(D477="","",IFERROR(VLOOKUP(D477,Catálogo!$A:$D,2,FALSE),"Código não está no Catálogo"))</f>
        <v/>
      </c>
      <c r="F477" s="17">
        <f>IF(D477="","",IFERROR(VLOOKUP(D477,Catálogo!$A:$D,4,FALSE),""))</f>
        <v/>
      </c>
      <c r="G477" s="17" t="n"/>
      <c r="H477" s="17">
        <f>IF(D477="",0,IF(COUNTIFS($A$2:A477,A477,$D$2:D477,D477)=1,1,0))</f>
        <v/>
      </c>
      <c r="I477" s="17" t="n"/>
      <c r="J477" s="17" t="n"/>
      <c r="K477" s="18" t="n"/>
      <c r="L477" s="17" t="n"/>
      <c r="M477">
        <f>IF(AND(B477&lt;&gt;"",B477='Por empresa'!$B$2),COUNTIF($B$2:B477,'Por empresa'!$B$2),"")</f>
        <v/>
      </c>
    </row>
    <row r="478">
      <c r="A478" s="17" t="n"/>
      <c r="B478" s="17">
        <f>IF(A478="","",IFERROR(VLOOKUP(A478,Notificações!$A:$B,2,FALSE),"ID não encontrado"))</f>
        <v/>
      </c>
      <c r="C478" s="17" t="n"/>
      <c r="D478" s="17" t="n"/>
      <c r="E478" s="17">
        <f>IF(D478="","",IFERROR(VLOOKUP(D478,Catálogo!$A:$D,2,FALSE),"Código não está no Catálogo"))</f>
        <v/>
      </c>
      <c r="F478" s="17">
        <f>IF(D478="","",IFERROR(VLOOKUP(D478,Catálogo!$A:$D,4,FALSE),""))</f>
        <v/>
      </c>
      <c r="G478" s="17" t="n"/>
      <c r="H478" s="17">
        <f>IF(D478="",0,IF(COUNTIFS($A$2:A478,A478,$D$2:D478,D478)=1,1,0))</f>
        <v/>
      </c>
      <c r="I478" s="17" t="n"/>
      <c r="J478" s="17" t="n"/>
      <c r="K478" s="18" t="n"/>
      <c r="L478" s="17" t="n"/>
      <c r="M478">
        <f>IF(AND(B478&lt;&gt;"",B478='Por empresa'!$B$2),COUNTIF($B$2:B478,'Por empresa'!$B$2),"")</f>
        <v/>
      </c>
    </row>
    <row r="479">
      <c r="A479" s="17" t="n"/>
      <c r="B479" s="17">
        <f>IF(A479="","",IFERROR(VLOOKUP(A479,Notificações!$A:$B,2,FALSE),"ID não encontrado"))</f>
        <v/>
      </c>
      <c r="C479" s="17" t="n"/>
      <c r="D479" s="17" t="n"/>
      <c r="E479" s="17">
        <f>IF(D479="","",IFERROR(VLOOKUP(D479,Catálogo!$A:$D,2,FALSE),"Código não está no Catálogo"))</f>
        <v/>
      </c>
      <c r="F479" s="17">
        <f>IF(D479="","",IFERROR(VLOOKUP(D479,Catálogo!$A:$D,4,FALSE),""))</f>
        <v/>
      </c>
      <c r="G479" s="17" t="n"/>
      <c r="H479" s="17">
        <f>IF(D479="",0,IF(COUNTIFS($A$2:A479,A479,$D$2:D479,D479)=1,1,0))</f>
        <v/>
      </c>
      <c r="I479" s="17" t="n"/>
      <c r="J479" s="17" t="n"/>
      <c r="K479" s="18" t="n"/>
      <c r="L479" s="17" t="n"/>
      <c r="M479">
        <f>IF(AND(B479&lt;&gt;"",B479='Por empresa'!$B$2),COUNTIF($B$2:B479,'Por empresa'!$B$2),"")</f>
        <v/>
      </c>
    </row>
    <row r="480">
      <c r="A480" s="17" t="n"/>
      <c r="B480" s="17">
        <f>IF(A480="","",IFERROR(VLOOKUP(A480,Notificações!$A:$B,2,FALSE),"ID não encontrado"))</f>
        <v/>
      </c>
      <c r="C480" s="17" t="n"/>
      <c r="D480" s="17" t="n"/>
      <c r="E480" s="17">
        <f>IF(D480="","",IFERROR(VLOOKUP(D480,Catálogo!$A:$D,2,FALSE),"Código não está no Catálogo"))</f>
        <v/>
      </c>
      <c r="F480" s="17">
        <f>IF(D480="","",IFERROR(VLOOKUP(D480,Catálogo!$A:$D,4,FALSE),""))</f>
        <v/>
      </c>
      <c r="G480" s="17" t="n"/>
      <c r="H480" s="17">
        <f>IF(D480="",0,IF(COUNTIFS($A$2:A480,A480,$D$2:D480,D480)=1,1,0))</f>
        <v/>
      </c>
      <c r="I480" s="17" t="n"/>
      <c r="J480" s="17" t="n"/>
      <c r="K480" s="18" t="n"/>
      <c r="L480" s="17" t="n"/>
      <c r="M480">
        <f>IF(AND(B480&lt;&gt;"",B480='Por empresa'!$B$2),COUNTIF($B$2:B480,'Por empresa'!$B$2),"")</f>
        <v/>
      </c>
    </row>
    <row r="481">
      <c r="A481" s="17" t="n"/>
      <c r="B481" s="17">
        <f>IF(A481="","",IFERROR(VLOOKUP(A481,Notificações!$A:$B,2,FALSE),"ID não encontrado"))</f>
        <v/>
      </c>
      <c r="C481" s="17" t="n"/>
      <c r="D481" s="17" t="n"/>
      <c r="E481" s="17">
        <f>IF(D481="","",IFERROR(VLOOKUP(D481,Catálogo!$A:$D,2,FALSE),"Código não está no Catálogo"))</f>
        <v/>
      </c>
      <c r="F481" s="17">
        <f>IF(D481="","",IFERROR(VLOOKUP(D481,Catálogo!$A:$D,4,FALSE),""))</f>
        <v/>
      </c>
      <c r="G481" s="17" t="n"/>
      <c r="H481" s="17">
        <f>IF(D481="",0,IF(COUNTIFS($A$2:A481,A481,$D$2:D481,D481)=1,1,0))</f>
        <v/>
      </c>
      <c r="I481" s="17" t="n"/>
      <c r="J481" s="17" t="n"/>
      <c r="K481" s="18" t="n"/>
      <c r="L481" s="17" t="n"/>
      <c r="M481">
        <f>IF(AND(B481&lt;&gt;"",B481='Por empresa'!$B$2),COUNTIF($B$2:B481,'Por empresa'!$B$2),"")</f>
        <v/>
      </c>
    </row>
    <row r="482">
      <c r="A482" s="17" t="n"/>
      <c r="B482" s="17">
        <f>IF(A482="","",IFERROR(VLOOKUP(A482,Notificações!$A:$B,2,FALSE),"ID não encontrado"))</f>
        <v/>
      </c>
      <c r="C482" s="17" t="n"/>
      <c r="D482" s="17" t="n"/>
      <c r="E482" s="17">
        <f>IF(D482="","",IFERROR(VLOOKUP(D482,Catálogo!$A:$D,2,FALSE),"Código não está no Catálogo"))</f>
        <v/>
      </c>
      <c r="F482" s="17">
        <f>IF(D482="","",IFERROR(VLOOKUP(D482,Catálogo!$A:$D,4,FALSE),""))</f>
        <v/>
      </c>
      <c r="G482" s="17" t="n"/>
      <c r="H482" s="17">
        <f>IF(D482="",0,IF(COUNTIFS($A$2:A482,A482,$D$2:D482,D482)=1,1,0))</f>
        <v/>
      </c>
      <c r="I482" s="17" t="n"/>
      <c r="J482" s="17" t="n"/>
      <c r="K482" s="18" t="n"/>
      <c r="L482" s="17" t="n"/>
      <c r="M482">
        <f>IF(AND(B482&lt;&gt;"",B482='Por empresa'!$B$2),COUNTIF($B$2:B482,'Por empresa'!$B$2),"")</f>
        <v/>
      </c>
    </row>
    <row r="483">
      <c r="A483" s="17" t="n"/>
      <c r="B483" s="17">
        <f>IF(A483="","",IFERROR(VLOOKUP(A483,Notificações!$A:$B,2,FALSE),"ID não encontrado"))</f>
        <v/>
      </c>
      <c r="C483" s="17" t="n"/>
      <c r="D483" s="17" t="n"/>
      <c r="E483" s="17">
        <f>IF(D483="","",IFERROR(VLOOKUP(D483,Catálogo!$A:$D,2,FALSE),"Código não está no Catálogo"))</f>
        <v/>
      </c>
      <c r="F483" s="17">
        <f>IF(D483="","",IFERROR(VLOOKUP(D483,Catálogo!$A:$D,4,FALSE),""))</f>
        <v/>
      </c>
      <c r="G483" s="17" t="n"/>
      <c r="H483" s="17">
        <f>IF(D483="",0,IF(COUNTIFS($A$2:A483,A483,$D$2:D483,D483)=1,1,0))</f>
        <v/>
      </c>
      <c r="I483" s="17" t="n"/>
      <c r="J483" s="17" t="n"/>
      <c r="K483" s="18" t="n"/>
      <c r="L483" s="17" t="n"/>
      <c r="M483">
        <f>IF(AND(B483&lt;&gt;"",B483='Por empresa'!$B$2),COUNTIF($B$2:B483,'Por empresa'!$B$2),"")</f>
        <v/>
      </c>
    </row>
    <row r="484">
      <c r="A484" s="17" t="n"/>
      <c r="B484" s="17">
        <f>IF(A484="","",IFERROR(VLOOKUP(A484,Notificações!$A:$B,2,FALSE),"ID não encontrado"))</f>
        <v/>
      </c>
      <c r="C484" s="17" t="n"/>
      <c r="D484" s="17" t="n"/>
      <c r="E484" s="17">
        <f>IF(D484="","",IFERROR(VLOOKUP(D484,Catálogo!$A:$D,2,FALSE),"Código não está no Catálogo"))</f>
        <v/>
      </c>
      <c r="F484" s="17">
        <f>IF(D484="","",IFERROR(VLOOKUP(D484,Catálogo!$A:$D,4,FALSE),""))</f>
        <v/>
      </c>
      <c r="G484" s="17" t="n"/>
      <c r="H484" s="17">
        <f>IF(D484="",0,IF(COUNTIFS($A$2:A484,A484,$D$2:D484,D484)=1,1,0))</f>
        <v/>
      </c>
      <c r="I484" s="17" t="n"/>
      <c r="J484" s="17" t="n"/>
      <c r="K484" s="18" t="n"/>
      <c r="L484" s="17" t="n"/>
      <c r="M484">
        <f>IF(AND(B484&lt;&gt;"",B484='Por empresa'!$B$2),COUNTIF($B$2:B484,'Por empresa'!$B$2),"")</f>
        <v/>
      </c>
    </row>
    <row r="485">
      <c r="A485" s="17" t="n"/>
      <c r="B485" s="17">
        <f>IF(A485="","",IFERROR(VLOOKUP(A485,Notificações!$A:$B,2,FALSE),"ID não encontrado"))</f>
        <v/>
      </c>
      <c r="C485" s="17" t="n"/>
      <c r="D485" s="17" t="n"/>
      <c r="E485" s="17">
        <f>IF(D485="","",IFERROR(VLOOKUP(D485,Catálogo!$A:$D,2,FALSE),"Código não está no Catálogo"))</f>
        <v/>
      </c>
      <c r="F485" s="17">
        <f>IF(D485="","",IFERROR(VLOOKUP(D485,Catálogo!$A:$D,4,FALSE),""))</f>
        <v/>
      </c>
      <c r="G485" s="17" t="n"/>
      <c r="H485" s="17">
        <f>IF(D485="",0,IF(COUNTIFS($A$2:A485,A485,$D$2:D485,D485)=1,1,0))</f>
        <v/>
      </c>
      <c r="I485" s="17" t="n"/>
      <c r="J485" s="17" t="n"/>
      <c r="K485" s="18" t="n"/>
      <c r="L485" s="17" t="n"/>
      <c r="M485">
        <f>IF(AND(B485&lt;&gt;"",B485='Por empresa'!$B$2),COUNTIF($B$2:B485,'Por empresa'!$B$2),"")</f>
        <v/>
      </c>
    </row>
    <row r="486">
      <c r="A486" s="17" t="n"/>
      <c r="B486" s="17">
        <f>IF(A486="","",IFERROR(VLOOKUP(A486,Notificações!$A:$B,2,FALSE),"ID não encontrado"))</f>
        <v/>
      </c>
      <c r="C486" s="17" t="n"/>
      <c r="D486" s="17" t="n"/>
      <c r="E486" s="17">
        <f>IF(D486="","",IFERROR(VLOOKUP(D486,Catálogo!$A:$D,2,FALSE),"Código não está no Catálogo"))</f>
        <v/>
      </c>
      <c r="F486" s="17">
        <f>IF(D486="","",IFERROR(VLOOKUP(D486,Catálogo!$A:$D,4,FALSE),""))</f>
        <v/>
      </c>
      <c r="G486" s="17" t="n"/>
      <c r="H486" s="17">
        <f>IF(D486="",0,IF(COUNTIFS($A$2:A486,A486,$D$2:D486,D486)=1,1,0))</f>
        <v/>
      </c>
      <c r="I486" s="17" t="n"/>
      <c r="J486" s="17" t="n"/>
      <c r="K486" s="18" t="n"/>
      <c r="L486" s="17" t="n"/>
      <c r="M486">
        <f>IF(AND(B486&lt;&gt;"",B486='Por empresa'!$B$2),COUNTIF($B$2:B486,'Por empresa'!$B$2),"")</f>
        <v/>
      </c>
    </row>
    <row r="487">
      <c r="A487" s="17" t="n"/>
      <c r="B487" s="17">
        <f>IF(A487="","",IFERROR(VLOOKUP(A487,Notificações!$A:$B,2,FALSE),"ID não encontrado"))</f>
        <v/>
      </c>
      <c r="C487" s="17" t="n"/>
      <c r="D487" s="17" t="n"/>
      <c r="E487" s="17">
        <f>IF(D487="","",IFERROR(VLOOKUP(D487,Catálogo!$A:$D,2,FALSE),"Código não está no Catálogo"))</f>
        <v/>
      </c>
      <c r="F487" s="17">
        <f>IF(D487="","",IFERROR(VLOOKUP(D487,Catálogo!$A:$D,4,FALSE),""))</f>
        <v/>
      </c>
      <c r="G487" s="17" t="n"/>
      <c r="H487" s="17">
        <f>IF(D487="",0,IF(COUNTIFS($A$2:A487,A487,$D$2:D487,D487)=1,1,0))</f>
        <v/>
      </c>
      <c r="I487" s="17" t="n"/>
      <c r="J487" s="17" t="n"/>
      <c r="K487" s="18" t="n"/>
      <c r="L487" s="17" t="n"/>
      <c r="M487">
        <f>IF(AND(B487&lt;&gt;"",B487='Por empresa'!$B$2),COUNTIF($B$2:B487,'Por empresa'!$B$2),"")</f>
        <v/>
      </c>
    </row>
    <row r="488">
      <c r="A488" s="17" t="n"/>
      <c r="B488" s="17">
        <f>IF(A488="","",IFERROR(VLOOKUP(A488,Notificações!$A:$B,2,FALSE),"ID não encontrado"))</f>
        <v/>
      </c>
      <c r="C488" s="17" t="n"/>
      <c r="D488" s="17" t="n"/>
      <c r="E488" s="17">
        <f>IF(D488="","",IFERROR(VLOOKUP(D488,Catálogo!$A:$D,2,FALSE),"Código não está no Catálogo"))</f>
        <v/>
      </c>
      <c r="F488" s="17">
        <f>IF(D488="","",IFERROR(VLOOKUP(D488,Catálogo!$A:$D,4,FALSE),""))</f>
        <v/>
      </c>
      <c r="G488" s="17" t="n"/>
      <c r="H488" s="17">
        <f>IF(D488="",0,IF(COUNTIFS($A$2:A488,A488,$D$2:D488,D488)=1,1,0))</f>
        <v/>
      </c>
      <c r="I488" s="17" t="n"/>
      <c r="J488" s="17" t="n"/>
      <c r="K488" s="18" t="n"/>
      <c r="L488" s="17" t="n"/>
      <c r="M488">
        <f>IF(AND(B488&lt;&gt;"",B488='Por empresa'!$B$2),COUNTIF($B$2:B488,'Por empresa'!$B$2),"")</f>
        <v/>
      </c>
    </row>
    <row r="489">
      <c r="A489" s="17" t="n"/>
      <c r="B489" s="17">
        <f>IF(A489="","",IFERROR(VLOOKUP(A489,Notificações!$A:$B,2,FALSE),"ID não encontrado"))</f>
        <v/>
      </c>
      <c r="C489" s="17" t="n"/>
      <c r="D489" s="17" t="n"/>
      <c r="E489" s="17">
        <f>IF(D489="","",IFERROR(VLOOKUP(D489,Catálogo!$A:$D,2,FALSE),"Código não está no Catálogo"))</f>
        <v/>
      </c>
      <c r="F489" s="17">
        <f>IF(D489="","",IFERROR(VLOOKUP(D489,Catálogo!$A:$D,4,FALSE),""))</f>
        <v/>
      </c>
      <c r="G489" s="17" t="n"/>
      <c r="H489" s="17">
        <f>IF(D489="",0,IF(COUNTIFS($A$2:A489,A489,$D$2:D489,D489)=1,1,0))</f>
        <v/>
      </c>
      <c r="I489" s="17" t="n"/>
      <c r="J489" s="17" t="n"/>
      <c r="K489" s="18" t="n"/>
      <c r="L489" s="17" t="n"/>
      <c r="M489">
        <f>IF(AND(B489&lt;&gt;"",B489='Por empresa'!$B$2),COUNTIF($B$2:B489,'Por empresa'!$B$2),"")</f>
        <v/>
      </c>
    </row>
    <row r="490">
      <c r="A490" s="17" t="n"/>
      <c r="B490" s="17">
        <f>IF(A490="","",IFERROR(VLOOKUP(A490,Notificações!$A:$B,2,FALSE),"ID não encontrado"))</f>
        <v/>
      </c>
      <c r="C490" s="17" t="n"/>
      <c r="D490" s="17" t="n"/>
      <c r="E490" s="17">
        <f>IF(D490="","",IFERROR(VLOOKUP(D490,Catálogo!$A:$D,2,FALSE),"Código não está no Catálogo"))</f>
        <v/>
      </c>
      <c r="F490" s="17">
        <f>IF(D490="","",IFERROR(VLOOKUP(D490,Catálogo!$A:$D,4,FALSE),""))</f>
        <v/>
      </c>
      <c r="G490" s="17" t="n"/>
      <c r="H490" s="17">
        <f>IF(D490="",0,IF(COUNTIFS($A$2:A490,A490,$D$2:D490,D490)=1,1,0))</f>
        <v/>
      </c>
      <c r="I490" s="17" t="n"/>
      <c r="J490" s="17" t="n"/>
      <c r="K490" s="18" t="n"/>
      <c r="L490" s="17" t="n"/>
      <c r="M490">
        <f>IF(AND(B490&lt;&gt;"",B490='Por empresa'!$B$2),COUNTIF($B$2:B490,'Por empresa'!$B$2),"")</f>
        <v/>
      </c>
    </row>
    <row r="491">
      <c r="A491" s="17" t="n"/>
      <c r="B491" s="17">
        <f>IF(A491="","",IFERROR(VLOOKUP(A491,Notificações!$A:$B,2,FALSE),"ID não encontrado"))</f>
        <v/>
      </c>
      <c r="C491" s="17" t="n"/>
      <c r="D491" s="17" t="n"/>
      <c r="E491" s="17">
        <f>IF(D491="","",IFERROR(VLOOKUP(D491,Catálogo!$A:$D,2,FALSE),"Código não está no Catálogo"))</f>
        <v/>
      </c>
      <c r="F491" s="17">
        <f>IF(D491="","",IFERROR(VLOOKUP(D491,Catálogo!$A:$D,4,FALSE),""))</f>
        <v/>
      </c>
      <c r="G491" s="17" t="n"/>
      <c r="H491" s="17">
        <f>IF(D491="",0,IF(COUNTIFS($A$2:A491,A491,$D$2:D491,D491)=1,1,0))</f>
        <v/>
      </c>
      <c r="I491" s="17" t="n"/>
      <c r="J491" s="17" t="n"/>
      <c r="K491" s="18" t="n"/>
      <c r="L491" s="17" t="n"/>
      <c r="M491">
        <f>IF(AND(B491&lt;&gt;"",B491='Por empresa'!$B$2),COUNTIF($B$2:B491,'Por empresa'!$B$2),"")</f>
        <v/>
      </c>
    </row>
    <row r="492">
      <c r="A492" s="17" t="n"/>
      <c r="B492" s="17">
        <f>IF(A492="","",IFERROR(VLOOKUP(A492,Notificações!$A:$B,2,FALSE),"ID não encontrado"))</f>
        <v/>
      </c>
      <c r="C492" s="17" t="n"/>
      <c r="D492" s="17" t="n"/>
      <c r="E492" s="17">
        <f>IF(D492="","",IFERROR(VLOOKUP(D492,Catálogo!$A:$D,2,FALSE),"Código não está no Catálogo"))</f>
        <v/>
      </c>
      <c r="F492" s="17">
        <f>IF(D492="","",IFERROR(VLOOKUP(D492,Catálogo!$A:$D,4,FALSE),""))</f>
        <v/>
      </c>
      <c r="G492" s="17" t="n"/>
      <c r="H492" s="17">
        <f>IF(D492="",0,IF(COUNTIFS($A$2:A492,A492,$D$2:D492,D492)=1,1,0))</f>
        <v/>
      </c>
      <c r="I492" s="17" t="n"/>
      <c r="J492" s="17" t="n"/>
      <c r="K492" s="18" t="n"/>
      <c r="L492" s="17" t="n"/>
      <c r="M492">
        <f>IF(AND(B492&lt;&gt;"",B492='Por empresa'!$B$2),COUNTIF($B$2:B492,'Por empresa'!$B$2),"")</f>
        <v/>
      </c>
    </row>
    <row r="493">
      <c r="A493" s="17" t="n"/>
      <c r="B493" s="17">
        <f>IF(A493="","",IFERROR(VLOOKUP(A493,Notificações!$A:$B,2,FALSE),"ID não encontrado"))</f>
        <v/>
      </c>
      <c r="C493" s="17" t="n"/>
      <c r="D493" s="17" t="n"/>
      <c r="E493" s="17">
        <f>IF(D493="","",IFERROR(VLOOKUP(D493,Catálogo!$A:$D,2,FALSE),"Código não está no Catálogo"))</f>
        <v/>
      </c>
      <c r="F493" s="17">
        <f>IF(D493="","",IFERROR(VLOOKUP(D493,Catálogo!$A:$D,4,FALSE),""))</f>
        <v/>
      </c>
      <c r="G493" s="17" t="n"/>
      <c r="H493" s="17">
        <f>IF(D493="",0,IF(COUNTIFS($A$2:A493,A493,$D$2:D493,D493)=1,1,0))</f>
        <v/>
      </c>
      <c r="I493" s="17" t="n"/>
      <c r="J493" s="17" t="n"/>
      <c r="K493" s="18" t="n"/>
      <c r="L493" s="17" t="n"/>
      <c r="M493">
        <f>IF(AND(B493&lt;&gt;"",B493='Por empresa'!$B$2),COUNTIF($B$2:B493,'Por empresa'!$B$2),"")</f>
        <v/>
      </c>
    </row>
    <row r="494">
      <c r="A494" s="17" t="n"/>
      <c r="B494" s="17">
        <f>IF(A494="","",IFERROR(VLOOKUP(A494,Notificações!$A:$B,2,FALSE),"ID não encontrado"))</f>
        <v/>
      </c>
      <c r="C494" s="17" t="n"/>
      <c r="D494" s="17" t="n"/>
      <c r="E494" s="17">
        <f>IF(D494="","",IFERROR(VLOOKUP(D494,Catálogo!$A:$D,2,FALSE),"Código não está no Catálogo"))</f>
        <v/>
      </c>
      <c r="F494" s="17">
        <f>IF(D494="","",IFERROR(VLOOKUP(D494,Catálogo!$A:$D,4,FALSE),""))</f>
        <v/>
      </c>
      <c r="G494" s="17" t="n"/>
      <c r="H494" s="17">
        <f>IF(D494="",0,IF(COUNTIFS($A$2:A494,A494,$D$2:D494,D494)=1,1,0))</f>
        <v/>
      </c>
      <c r="I494" s="17" t="n"/>
      <c r="J494" s="17" t="n"/>
      <c r="K494" s="18" t="n"/>
      <c r="L494" s="17" t="n"/>
      <c r="M494">
        <f>IF(AND(B494&lt;&gt;"",B494='Por empresa'!$B$2),COUNTIF($B$2:B494,'Por empresa'!$B$2),"")</f>
        <v/>
      </c>
    </row>
    <row r="495">
      <c r="A495" s="17" t="n"/>
      <c r="B495" s="17">
        <f>IF(A495="","",IFERROR(VLOOKUP(A495,Notificações!$A:$B,2,FALSE),"ID não encontrado"))</f>
        <v/>
      </c>
      <c r="C495" s="17" t="n"/>
      <c r="D495" s="17" t="n"/>
      <c r="E495" s="17">
        <f>IF(D495="","",IFERROR(VLOOKUP(D495,Catálogo!$A:$D,2,FALSE),"Código não está no Catálogo"))</f>
        <v/>
      </c>
      <c r="F495" s="17">
        <f>IF(D495="","",IFERROR(VLOOKUP(D495,Catálogo!$A:$D,4,FALSE),""))</f>
        <v/>
      </c>
      <c r="G495" s="17" t="n"/>
      <c r="H495" s="17">
        <f>IF(D495="",0,IF(COUNTIFS($A$2:A495,A495,$D$2:D495,D495)=1,1,0))</f>
        <v/>
      </c>
      <c r="I495" s="17" t="n"/>
      <c r="J495" s="17" t="n"/>
      <c r="K495" s="18" t="n"/>
      <c r="L495" s="17" t="n"/>
      <c r="M495">
        <f>IF(AND(B495&lt;&gt;"",B495='Por empresa'!$B$2),COUNTIF($B$2:B495,'Por empresa'!$B$2),"")</f>
        <v/>
      </c>
    </row>
    <row r="496">
      <c r="A496" s="17" t="n"/>
      <c r="B496" s="17">
        <f>IF(A496="","",IFERROR(VLOOKUP(A496,Notificações!$A:$B,2,FALSE),"ID não encontrado"))</f>
        <v/>
      </c>
      <c r="C496" s="17" t="n"/>
      <c r="D496" s="17" t="n"/>
      <c r="E496" s="17">
        <f>IF(D496="","",IFERROR(VLOOKUP(D496,Catálogo!$A:$D,2,FALSE),"Código não está no Catálogo"))</f>
        <v/>
      </c>
      <c r="F496" s="17">
        <f>IF(D496="","",IFERROR(VLOOKUP(D496,Catálogo!$A:$D,4,FALSE),""))</f>
        <v/>
      </c>
      <c r="G496" s="17" t="n"/>
      <c r="H496" s="17">
        <f>IF(D496="",0,IF(COUNTIFS($A$2:A496,A496,$D$2:D496,D496)=1,1,0))</f>
        <v/>
      </c>
      <c r="I496" s="17" t="n"/>
      <c r="J496" s="17" t="n"/>
      <c r="K496" s="18" t="n"/>
      <c r="L496" s="17" t="n"/>
      <c r="M496">
        <f>IF(AND(B496&lt;&gt;"",B496='Por empresa'!$B$2),COUNTIF($B$2:B496,'Por empresa'!$B$2),"")</f>
        <v/>
      </c>
    </row>
    <row r="497">
      <c r="A497" s="17" t="n"/>
      <c r="B497" s="17">
        <f>IF(A497="","",IFERROR(VLOOKUP(A497,Notificações!$A:$B,2,FALSE),"ID não encontrado"))</f>
        <v/>
      </c>
      <c r="C497" s="17" t="n"/>
      <c r="D497" s="17" t="n"/>
      <c r="E497" s="17">
        <f>IF(D497="","",IFERROR(VLOOKUP(D497,Catálogo!$A:$D,2,FALSE),"Código não está no Catálogo"))</f>
        <v/>
      </c>
      <c r="F497" s="17">
        <f>IF(D497="","",IFERROR(VLOOKUP(D497,Catálogo!$A:$D,4,FALSE),""))</f>
        <v/>
      </c>
      <c r="G497" s="17" t="n"/>
      <c r="H497" s="17">
        <f>IF(D497="",0,IF(COUNTIFS($A$2:A497,A497,$D$2:D497,D497)=1,1,0))</f>
        <v/>
      </c>
      <c r="I497" s="17" t="n"/>
      <c r="J497" s="17" t="n"/>
      <c r="K497" s="18" t="n"/>
      <c r="L497" s="17" t="n"/>
      <c r="M497">
        <f>IF(AND(B497&lt;&gt;"",B497='Por empresa'!$B$2),COUNTIF($B$2:B497,'Por empresa'!$B$2),"")</f>
        <v/>
      </c>
    </row>
    <row r="498">
      <c r="A498" s="17" t="n"/>
      <c r="B498" s="17">
        <f>IF(A498="","",IFERROR(VLOOKUP(A498,Notificações!$A:$B,2,FALSE),"ID não encontrado"))</f>
        <v/>
      </c>
      <c r="C498" s="17" t="n"/>
      <c r="D498" s="17" t="n"/>
      <c r="E498" s="17">
        <f>IF(D498="","",IFERROR(VLOOKUP(D498,Catálogo!$A:$D,2,FALSE),"Código não está no Catálogo"))</f>
        <v/>
      </c>
      <c r="F498" s="17">
        <f>IF(D498="","",IFERROR(VLOOKUP(D498,Catálogo!$A:$D,4,FALSE),""))</f>
        <v/>
      </c>
      <c r="G498" s="17" t="n"/>
      <c r="H498" s="17">
        <f>IF(D498="",0,IF(COUNTIFS($A$2:A498,A498,$D$2:D498,D498)=1,1,0))</f>
        <v/>
      </c>
      <c r="I498" s="17" t="n"/>
      <c r="J498" s="17" t="n"/>
      <c r="K498" s="18" t="n"/>
      <c r="L498" s="17" t="n"/>
      <c r="M498">
        <f>IF(AND(B498&lt;&gt;"",B498='Por empresa'!$B$2),COUNTIF($B$2:B498,'Por empresa'!$B$2),"")</f>
        <v/>
      </c>
    </row>
    <row r="499">
      <c r="A499" s="17" t="n"/>
      <c r="B499" s="17">
        <f>IF(A499="","",IFERROR(VLOOKUP(A499,Notificações!$A:$B,2,FALSE),"ID não encontrado"))</f>
        <v/>
      </c>
      <c r="C499" s="17" t="n"/>
      <c r="D499" s="17" t="n"/>
      <c r="E499" s="17">
        <f>IF(D499="","",IFERROR(VLOOKUP(D499,Catálogo!$A:$D,2,FALSE),"Código não está no Catálogo"))</f>
        <v/>
      </c>
      <c r="F499" s="17">
        <f>IF(D499="","",IFERROR(VLOOKUP(D499,Catálogo!$A:$D,4,FALSE),""))</f>
        <v/>
      </c>
      <c r="G499" s="17" t="n"/>
      <c r="H499" s="17">
        <f>IF(D499="",0,IF(COUNTIFS($A$2:A499,A499,$D$2:D499,D499)=1,1,0))</f>
        <v/>
      </c>
      <c r="I499" s="17" t="n"/>
      <c r="J499" s="17" t="n"/>
      <c r="K499" s="18" t="n"/>
      <c r="L499" s="17" t="n"/>
      <c r="M499">
        <f>IF(AND(B499&lt;&gt;"",B499='Por empresa'!$B$2),COUNTIF($B$2:B499,'Por empresa'!$B$2),"")</f>
        <v/>
      </c>
    </row>
    <row r="500">
      <c r="A500" s="17" t="n"/>
      <c r="B500" s="17">
        <f>IF(A500="","",IFERROR(VLOOKUP(A500,Notificações!$A:$B,2,FALSE),"ID não encontrado"))</f>
        <v/>
      </c>
      <c r="C500" s="17" t="n"/>
      <c r="D500" s="17" t="n"/>
      <c r="E500" s="17">
        <f>IF(D500="","",IFERROR(VLOOKUP(D500,Catálogo!$A:$D,2,FALSE),"Código não está no Catálogo"))</f>
        <v/>
      </c>
      <c r="F500" s="17">
        <f>IF(D500="","",IFERROR(VLOOKUP(D500,Catálogo!$A:$D,4,FALSE),""))</f>
        <v/>
      </c>
      <c r="G500" s="17" t="n"/>
      <c r="H500" s="17">
        <f>IF(D500="",0,IF(COUNTIFS($A$2:A500,A500,$D$2:D500,D500)=1,1,0))</f>
        <v/>
      </c>
      <c r="I500" s="17" t="n"/>
      <c r="J500" s="17" t="n"/>
      <c r="K500" s="18" t="n"/>
      <c r="L500" s="17" t="n"/>
      <c r="M500">
        <f>IF(AND(B500&lt;&gt;"",B500='Por empresa'!$B$2),COUNTIF($B$2:B500,'Por empresa'!$B$2),"")</f>
        <v/>
      </c>
    </row>
    <row r="501">
      <c r="A501" s="17" t="n"/>
      <c r="B501" s="17">
        <f>IF(A501="","",IFERROR(VLOOKUP(A501,Notificações!$A:$B,2,FALSE),"ID não encontrado"))</f>
        <v/>
      </c>
      <c r="C501" s="17" t="n"/>
      <c r="D501" s="17" t="n"/>
      <c r="E501" s="17">
        <f>IF(D501="","",IFERROR(VLOOKUP(D501,Catálogo!$A:$D,2,FALSE),"Código não está no Catálogo"))</f>
        <v/>
      </c>
      <c r="F501" s="17">
        <f>IF(D501="","",IFERROR(VLOOKUP(D501,Catálogo!$A:$D,4,FALSE),""))</f>
        <v/>
      </c>
      <c r="G501" s="17" t="n"/>
      <c r="H501" s="17">
        <f>IF(D501="",0,IF(COUNTIFS($A$2:A501,A501,$D$2:D501,D501)=1,1,0))</f>
        <v/>
      </c>
      <c r="I501" s="17" t="n"/>
      <c r="J501" s="17" t="n"/>
      <c r="K501" s="18" t="n"/>
      <c r="L501" s="17" t="n"/>
      <c r="M501">
        <f>IF(AND(B501&lt;&gt;"",B501='Por empresa'!$B$2),COUNTIF($B$2:B501,'Por empresa'!$B$2),"")</f>
        <v/>
      </c>
    </row>
  </sheetData>
  <autoFilter ref="A1:L501"/>
  <conditionalFormatting sqref="F2:F501">
    <cfRule type="cellIs" priority="1" operator="equal" dxfId="0">
      <formula>"Assessoria SST"</formula>
    </cfRule>
    <cfRule type="cellIs" priority="2" operator="equal" dxfId="1">
      <formula>"Empresa – RH/DP"</formula>
    </cfRule>
    <cfRule type="cellIs" priority="3" operator="equal" dxfId="2">
      <formula>"Empresa – Financeiro"</formula>
    </cfRule>
    <cfRule type="cellIs" priority="4" operator="equal" dxfId="3">
      <formula>"Empresa – Operação/Manutenção"</formula>
    </cfRule>
    <cfRule type="cellIs" priority="5" operator="equal" dxfId="4">
      <formula>"Compartilhado (Empresa + SST)"</formula>
    </cfRule>
  </conditionalFormatting>
  <conditionalFormatting sqref="I2:I501">
    <cfRule type="cellIs" priority="6" operator="equal" dxfId="5">
      <formula>"Entregue"</formula>
    </cfRule>
    <cfRule type="cellIs" priority="7" operator="equal" dxfId="6">
      <formula>"Pendente"</formula>
    </cfRule>
    <cfRule type="cellIs" priority="8" operator="equal" dxfId="7">
      <formula>"A confirmar"</formula>
    </cfRule>
  </conditionalFormatting>
  <dataValidations count="3">
    <dataValidation sqref="I2:I501" showDropDown="0" showInputMessage="0" showErrorMessage="0" allowBlank="1" type="list">
      <formula1>"Pendente,Em andamento,Entregue,Não se aplica (justificar),A confirmar"</formula1>
    </dataValidation>
    <dataValidation sqref="D2:D501" showDropDown="0" showInputMessage="0" showErrorMessage="0" allowBlank="1" type="list">
      <formula1>=Catálogo!$A$2:$A$200</formula1>
    </dataValidation>
    <dataValidation sqref="A2:A501" showDropDown="0" showInputMessage="0" showErrorMessage="0" allowBlank="1" type="list">
      <formula1>=Notificações!$A$2:$A$500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2026-10-09T13:15:59Z</dcterms:created>
  <dcterms:modified xmlns:dcterms="http://purl.org/dc/terms/" xmlns:xsi="http://www.w3.org/2001/XMLSchema-instance" xsi:type="dcterms:W3CDTF">2026-10-09T13:15:59Z</dcterms:modified>
</cp:coreProperties>
</file>