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Plano Consolidado" sheetId="1" state="visible" r:id="rId1"/>
    <sheet xmlns:r="http://schemas.openxmlformats.org/officeDocument/2006/relationships" name="Indicadores" sheetId="2" state="visible" r:id="rId2"/>
  </sheets>
  <definedNames>
    <definedName name="_xlnm.Print_Titles" localSheetId="0">'Plano Consolidado'!$1:$1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11">
    <font>
      <name val="Calibri"/>
      <family val="2"/>
      <color theme="1"/>
      <sz val="12"/>
      <scheme val="minor"/>
    </font>
    <font>
      <name val="Arial"/>
      <b val="1"/>
      <color rgb="00FFFFFF"/>
      <sz val="10"/>
    </font>
    <font>
      <name val="Arial"/>
      <b val="1"/>
      <color rgb="001F3864"/>
      <sz val="10"/>
    </font>
    <font>
      <name val="Arial"/>
      <sz val="10"/>
    </font>
    <font>
      <name val="Arial"/>
      <b val="1"/>
      <color rgb="001F3864"/>
      <sz val="12"/>
    </font>
    <font>
      <name val="Arial"/>
      <i val="1"/>
      <sz val="9"/>
    </font>
    <font>
      <name val="Arial"/>
      <b val="1"/>
      <color rgb="00FFFFFF"/>
      <sz val="9"/>
    </font>
    <font>
      <name val="Arial"/>
      <b val="1"/>
      <sz val="10"/>
    </font>
    <font>
      <name val="Arial"/>
      <color rgb="000000FF"/>
      <sz val="10"/>
    </font>
    <font>
      <name val="Arial"/>
      <b val="1"/>
      <sz val="9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595959"/>
      </patternFill>
    </fill>
    <fill>
      <patternFill patternType="solid">
        <fgColor rgb="00FFF2CC"/>
      </patternFill>
    </fill>
    <fill>
      <patternFill patternType="solid">
        <fgColor rgb="00EDEDED"/>
      </patternFill>
    </fill>
  </fills>
  <borders count="6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  <border>
      <left/>
      <right/>
      <top style="thin">
        <color rgb="009AA5B1"/>
      </top>
      <bottom/>
      <diagonal/>
    </border>
    <border>
      <left/>
      <right style="thin">
        <color rgb="009AA5B1"/>
      </right>
      <top style="thin">
        <color rgb="009AA5B1"/>
      </top>
      <bottom/>
      <diagonal/>
    </border>
    <border>
      <left/>
      <right/>
      <top style="thin">
        <color rgb="009AA5B1"/>
      </top>
      <bottom style="thin">
        <color rgb="009AA5B1"/>
      </bottom>
      <diagonal/>
    </border>
    <border>
      <left/>
      <right style="thin">
        <color rgb="009AA5B1"/>
      </right>
      <top style="thin">
        <color rgb="009AA5B1"/>
      </top>
      <bottom style="thin">
        <color rgb="009AA5B1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0" fillId="0" borderId="1" pivotButton="0" quotePrefix="0" xfId="0"/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/>
    </xf>
    <xf numFmtId="0" fontId="8" fillId="5" borderId="1" applyAlignment="1" pivotButton="0" quotePrefix="0" xfId="0">
      <alignment horizontal="center"/>
    </xf>
    <xf numFmtId="164" fontId="3" fillId="6" borderId="1" applyAlignment="1" pivotButton="0" quotePrefix="0" xfId="0">
      <alignment horizontal="center"/>
    </xf>
    <xf numFmtId="165" fontId="3" fillId="6" borderId="1" applyAlignment="1" pivotButton="0" quotePrefix="0" xfId="0">
      <alignment horizontal="center"/>
    </xf>
    <xf numFmtId="0" fontId="7" fillId="3" borderId="1" applyAlignment="1" pivotButton="0" quotePrefix="0" xfId="0">
      <alignment horizontal="center"/>
    </xf>
    <xf numFmtId="164" fontId="7" fillId="3" borderId="1" applyAlignment="1" pivotButton="0" quotePrefix="0" xfId="0">
      <alignment horizontal="center"/>
    </xf>
    <xf numFmtId="165" fontId="7" fillId="3" borderId="1" applyAlignment="1" pivotButton="0" quotePrefix="0" xfId="0">
      <alignment horizontal="center"/>
    </xf>
    <xf numFmtId="0" fontId="9" fillId="0" borderId="0" pivotButton="0" quotePrefix="0" xfId="0"/>
    <xf numFmtId="0" fontId="10" fillId="0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SKX</author>
  </authors>
  <commentList>
    <comment ref="Q17" authorId="0" shapeId="0">
      <text>
        <t>Turnover acumulado em 12 meses: ((admissões + desligamentos)/2) ÷ efetivo médio.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58" customWidth="1" min="2" max="2"/>
    <col width="24" customWidth="1" min="3" max="3"/>
    <col width="9" customWidth="1" min="4" max="4"/>
    <col width="11" customWidth="1" min="5" max="5"/>
    <col width="16" customWidth="1" min="6" max="6"/>
    <col width="20" customWidth="1" min="7" max="7"/>
    <col width="38" customWidth="1" min="8" max="8"/>
    <col width="44" customWidth="1" min="9" max="9"/>
    <col width="13" customWidth="1" min="10" max="10"/>
  </cols>
  <sheetData>
    <row r="1" ht="34" customHeight="1">
      <c r="A1" s="1" t="inlineStr">
        <is>
          <t>Ação</t>
        </is>
      </c>
      <c r="B1" s="1" t="inlineStr">
        <is>
          <t>Medida de Prevenção / Ação Recomendada</t>
        </is>
      </c>
      <c r="C1" s="1" t="inlineStr">
        <is>
          <t>Setor / GSE Ocupacional</t>
        </is>
      </c>
      <c r="D1" s="1" t="inlineStr">
        <is>
          <t>Nº Trab. Atingidos</t>
        </is>
      </c>
      <c r="E1" s="1" t="inlineStr">
        <is>
          <t>Prioridade</t>
        </is>
      </c>
      <c r="F1" s="1" t="inlineStr">
        <is>
          <t>Cronograma</t>
        </is>
      </c>
      <c r="G1" s="1" t="inlineStr">
        <is>
          <t>Responsável Direto</t>
        </is>
      </c>
      <c r="H1" s="1" t="inlineStr">
        <is>
          <t>Evidências</t>
        </is>
      </c>
      <c r="I1" s="1" t="inlineStr">
        <is>
          <t>Aferição de Resultados</t>
        </is>
      </c>
      <c r="J1" s="1" t="inlineStr">
        <is>
          <t>Status</t>
        </is>
      </c>
    </row>
    <row r="2" ht="20" customHeight="1">
      <c r="A2" s="2" t="inlineStr">
        <is>
          <t>BLOCO A — GESTÃO E INDICADORES (base para medir todas as demais ações)</t>
        </is>
      </c>
      <c r="B2" s="19" t="n"/>
      <c r="C2" s="19" t="n"/>
      <c r="D2" s="19" t="n"/>
      <c r="E2" s="19" t="n"/>
      <c r="F2" s="19" t="n"/>
      <c r="G2" s="19" t="n"/>
      <c r="H2" s="19" t="n"/>
      <c r="I2" s="19" t="n"/>
      <c r="J2" s="20" t="n"/>
    </row>
    <row r="3">
      <c r="A3" s="4" t="inlineStr">
        <is>
          <t>01</t>
        </is>
      </c>
      <c r="B3" s="5" t="inlineStr">
        <is>
          <t>Implantar painel mensal de indicadores de pessoas e SST: absenteísmo, turnover, atestados (com destaque para CID F – saúde mental e CID M – osteomuscular), afastamentos &gt;15 dias (INSS), CATs, horas extras e faltas não justificadas. Primeiros 3 meses = linha de base; a partir daí, definir metas.</t>
        </is>
      </c>
      <c r="C3" s="5" t="inlineStr">
        <is>
          <t>Todos os GSEs (01 a 05) – 14 trabalhadores</t>
        </is>
      </c>
      <c r="D3" s="4" t="n">
        <v>14</v>
      </c>
      <c r="E3" s="4" t="inlineStr">
        <is>
          <t>Alta</t>
        </is>
      </c>
      <c r="F3" s="4" t="inlineStr">
        <is>
          <t>Nov/2026 – Atualizar todo mês até o dia 10</t>
        </is>
      </c>
      <c r="G3" s="5" t="inlineStr">
        <is>
          <t>Sócio-administrador / RH / Contabilidade</t>
        </is>
      </c>
      <c r="H3" s="5" t="inlineStr">
        <is>
          <t>Planilha "Indicadores" preenchida mensalmente; folha de ponto, relação de atestados, CAGED/eSocial (admissões e desligamentos), CATs emitidas.</t>
        </is>
      </c>
      <c r="I3" s="5" t="inlineStr">
        <is>
          <t>Absenteísmo % = horas de ausência ÷ horas previstas × 100 | Turnover % = ((admissões + desligamentos) ÷ 2) ÷ efetivo médio × 100 | Nº de atestados CID F e CID M/mês | Nº de afastamentos INSS | Nº de CATs | Horas extras por trabalhador/mês.</t>
        </is>
      </c>
      <c r="J3" s="4" t="inlineStr">
        <is>
          <t>Não iniciado</t>
        </is>
      </c>
    </row>
    <row r="4">
      <c r="A4" s="4" t="inlineStr">
        <is>
          <t>02</t>
        </is>
      </c>
      <c r="B4" s="5" t="inlineStr">
        <is>
          <t>Entrevista de desligamento padronizada (5 perguntas: motivo da saída, liderança, carga/ritmo, ambiente, o que mudaria) para todo colaborador que sair, por pedido ou dispensa.</t>
        </is>
      </c>
      <c r="C4" s="5" t="inlineStr">
        <is>
          <t>Todos os GSEs (01 a 05) – 14 trabalhadores</t>
        </is>
      </c>
      <c r="D4" s="4" t="n">
        <v>14</v>
      </c>
      <c r="E4" s="4" t="inlineStr">
        <is>
          <t>Média</t>
        </is>
      </c>
      <c r="F4" s="4" t="inlineStr">
        <is>
          <t>Nov/2026 – Contínuo (a cada desligamento)</t>
        </is>
      </c>
      <c r="G4" s="5" t="inlineStr">
        <is>
          <t>Sócio-administrador / RH</t>
        </is>
      </c>
      <c r="H4" s="5" t="inlineStr">
        <is>
          <t>Formulário de entrevista de desligamento assinado/arquivado na pasta do colaborador.</t>
        </is>
      </c>
      <c r="I4" s="5" t="inlineStr">
        <is>
          <t>% de desligamentos com entrevista realizada (meta 100%) | Principais motivos de saída por trimestre (vincular ao turnover).</t>
        </is>
      </c>
      <c r="J4" s="4" t="inlineStr">
        <is>
          <t>Não iniciado</t>
        </is>
      </c>
    </row>
    <row r="5">
      <c r="A5" s="4" t="inlineStr">
        <is>
          <t>03</t>
        </is>
      </c>
      <c r="B5" s="5" t="inlineStr">
        <is>
          <t>Reaplicar o questionário psicossocial (COPSOQ) para medir o efeito das ações nas dimensões Ritmo, Insegurança, Estresse/Exaustão, Exigências Quantitativas e Emocionais.</t>
        </is>
      </c>
      <c r="C5" s="5" t="inlineStr">
        <is>
          <t>Todos os GSEs (01 a 05) – 14 trabalhadores</t>
        </is>
      </c>
      <c r="D5" s="4" t="n">
        <v>14</v>
      </c>
      <c r="E5" s="4" t="inlineStr">
        <is>
          <t>Alta</t>
        </is>
      </c>
      <c r="F5" s="4" t="inlineStr">
        <is>
          <t>Abr/2027 (6 meses) e Out/2027 (12 meses)</t>
        </is>
      </c>
      <c r="G5" s="5" t="inlineStr">
        <is>
          <t>SKX Engenharia / Sócio-administrador / RH</t>
        </is>
      </c>
      <c r="H5" s="5" t="inlineStr">
        <is>
          <t>Relatório comparativo do questionário (antes x depois) e % de participação.</t>
        </is>
      </c>
      <c r="I5" s="5" t="inlineStr">
        <is>
          <t>Score de cada dimensão vs. aplicação de 2026 (meta: reduzir o Grau de Risco de III – Moderado para II) | Participação ≥ 80% do efetivo.</t>
        </is>
      </c>
      <c r="J5" s="4" t="inlineStr">
        <is>
          <t>Não iniciado</t>
        </is>
      </c>
    </row>
    <row r="6" ht="20" customHeight="1">
      <c r="A6" s="2" t="inlineStr">
        <is>
          <t>BLOCO B — AÇÕES POR RISCO PSICOSSOCIAL IDENTIFICADO</t>
        </is>
      </c>
      <c r="B6" s="19" t="n"/>
      <c r="C6" s="19" t="n"/>
      <c r="D6" s="19" t="n"/>
      <c r="E6" s="19" t="n"/>
      <c r="F6" s="19" t="n"/>
      <c r="G6" s="19" t="n"/>
      <c r="H6" s="19" t="n"/>
      <c r="I6" s="19" t="n"/>
      <c r="J6" s="20" t="n"/>
    </row>
    <row r="7">
      <c r="A7" s="4" t="inlineStr">
        <is>
          <t>04</t>
        </is>
      </c>
      <c r="B7" s="5" t="inlineStr">
        <is>
          <t>RITMO DE TRABALHO – Política de pausas: além do intervalo de refeição, 2 pausas de 10 min por turno (manhã e tarde), em escala definida pelo encarregado para que o caixa/atendimento nunca fique descoberto. Operador de caixa: seguir NR-17 Anexo I (checkout) quanto a pausas e rodízio.</t>
        </is>
      </c>
      <c r="C7" s="5" t="inlineStr">
        <is>
          <t>GSE 01 Padaria, GSE 02 Adm./Caixa, GSE 04 Depósito, GSE 05 Supervisão</t>
        </is>
      </c>
      <c r="D7" s="4" t="n">
        <v>13</v>
      </c>
      <c r="E7" s="4" t="inlineStr">
        <is>
          <t>Alta</t>
        </is>
      </c>
      <c r="F7" s="4" t="inlineStr">
        <is>
          <t>Nov/2026 – Reavaliar trimestralmente</t>
        </is>
      </c>
      <c r="G7" s="5" t="inlineStr">
        <is>
          <t>Encarregado / Sócio-administrador / RH</t>
        </is>
      </c>
      <c r="H7" s="5" t="inlineStr">
        <is>
          <t>Política de pausas assinada pelos colaboradores; escala de pausas afixada no setor; registro de cumprimento (checklist diário do encarregado).</t>
        </is>
      </c>
      <c r="I7" s="5" t="inlineStr">
        <is>
          <t>% de dias com pausas cumpridas (meta ≥ 90%) | Atestados CID M e queixas de dor | Absenteísmo e turnover do setor | Score "Ritmo de Trabalho" na reaplicação.</t>
        </is>
      </c>
      <c r="J7" s="4" t="inlineStr">
        <is>
          <t>Não iniciado</t>
        </is>
      </c>
    </row>
    <row r="8">
      <c r="A8" s="4" t="inlineStr">
        <is>
          <t>05</t>
        </is>
      </c>
      <c r="B8" s="5" t="inlineStr">
        <is>
          <t>RITMO DE TRABALHO – Dimensionar a equipe pelo movimento da loja: mapear os horários e dias de pico (ex.: fim de tarde, sexta/sábado, início do mês) pelo relatório de vendas/cupons do caixa e reforçar caixa e padaria nesses horários (reposição e fornadas programadas ANTES do pico; repositor cobre caixa no pico).</t>
        </is>
      </c>
      <c r="C8" s="5" t="inlineStr">
        <is>
          <t>GSE 01 Padaria, GSE 02 Caixa, GSE 04 Depósito</t>
        </is>
      </c>
      <c r="D8" s="4" t="n">
        <v>12</v>
      </c>
      <c r="E8" s="4" t="inlineStr">
        <is>
          <t>Alta</t>
        </is>
      </c>
      <c r="F8" s="4" t="inlineStr">
        <is>
          <t>Dez/2026 – Reavaliar trimestralmente</t>
        </is>
      </c>
      <c r="G8" s="5" t="inlineStr">
        <is>
          <t>Sócio-administrador / Encarregado</t>
        </is>
      </c>
      <c r="H8" s="5" t="inlineStr">
        <is>
          <t>Relatório de movimento por hora/dia; escala de trabalho ajustada aos picos; cronograma de fornadas e de reposição.</t>
        </is>
      </c>
      <c r="I8" s="5" t="inlineStr">
        <is>
          <t>Tempo médio de fila / nº de reclamações de clientes | Horas extras por trabalhador | Score "Ritmo de Trabalho" na reaplicação.</t>
        </is>
      </c>
      <c r="J8" s="4" t="inlineStr">
        <is>
          <t>Não iniciado</t>
        </is>
      </c>
    </row>
    <row r="9">
      <c r="A9" s="4" t="inlineStr">
        <is>
          <t>06</t>
        </is>
      </c>
      <c r="B9" s="5" t="inlineStr">
        <is>
          <t>RITMO DE TRABALHO / ERGONOMIA – Ginástica laboral / alongamento de 10 min no início do turno (pode ser conduzido pelo encarregado com roteiro ilustrado ou por profissional de educação física 1x/semana) + rodízio de funções caixa ↔ reposição a cada 2 h quando possível.</t>
        </is>
      </c>
      <c r="C9" s="5" t="inlineStr">
        <is>
          <t>Todos os GSEs (01 a 05) – 14 trabalhadores</t>
        </is>
      </c>
      <c r="D9" s="4" t="n">
        <v>14</v>
      </c>
      <c r="E9" s="4" t="inlineStr">
        <is>
          <t>Média</t>
        </is>
      </c>
      <c r="F9" s="4" t="inlineStr">
        <is>
          <t>Nov/2026 – Reavaliar semestralmente</t>
        </is>
      </c>
      <c r="G9" s="5" t="inlineStr">
        <is>
          <t>Encarregado / Sócio-administrador / RH</t>
        </is>
      </c>
      <c r="H9" s="5" t="inlineStr">
        <is>
          <t>Lista de presença diária; roteiro de exercícios afixado; escala de rodízio.</t>
        </is>
      </c>
      <c r="I9" s="5" t="inlineStr">
        <is>
          <t>Frequência de participação (meta ≥ 80%) | Atestados CID M (osteomuscular) | Queixas de dor registradas no ASO/PCMSO.</t>
        </is>
      </c>
      <c r="J9" s="4" t="inlineStr">
        <is>
          <t>Não iniciado</t>
        </is>
      </c>
    </row>
    <row r="10">
      <c r="A10" s="4" t="inlineStr">
        <is>
          <t>07</t>
        </is>
      </c>
      <c r="B10" s="5" t="inlineStr">
        <is>
          <t>INSEGURANÇA NO TRABALHO – Comunicação transparente: reunião mensal de 15 min ("conversa com o dono") sobre situação da loja, mudanças previstas, escalas e planos; escala de trabalho e folgas divulgada com no mínimo 15 dias de antecedência; feedback formal ao fim do contrato de experiência (45 e 90 dias).</t>
        </is>
      </c>
      <c r="C10" s="5" t="inlineStr">
        <is>
          <t>GSE 01 Padaria (extensivo a todos)</t>
        </is>
      </c>
      <c r="D10" s="4" t="n">
        <v>2</v>
      </c>
      <c r="E10" s="4" t="inlineStr">
        <is>
          <t>Alta</t>
        </is>
      </c>
      <c r="F10" s="4" t="inlineStr">
        <is>
          <t>Nov/2026 – Reavaliar trimestralmente</t>
        </is>
      </c>
      <c r="G10" s="5" t="inlineStr">
        <is>
          <t>Sócio-administrador / Sócio-administrador / RH</t>
        </is>
      </c>
      <c r="H10" s="5" t="inlineStr">
        <is>
          <t>Ata ou lista de presença das reuniões mensais; escala publicada com data; formulário de feedback de experiência assinado.</t>
        </is>
      </c>
      <c r="I10" s="5" t="inlineStr">
        <is>
          <t>Nº de reuniões realizadas vs. previstas (meta 12/ano) | Turnover nos 90 primeiros dias | Pedidos de demissão | Score "Insegurança no Trabalho" na reaplicação.</t>
        </is>
      </c>
      <c r="J10" s="4" t="inlineStr">
        <is>
          <t>Não iniciado</t>
        </is>
      </c>
    </row>
    <row r="11">
      <c r="A11" s="4" t="inlineStr">
        <is>
          <t>08</t>
        </is>
      </c>
      <c r="B11" s="5" t="inlineStr">
        <is>
          <t>INSEGURANÇA NO TRABALHO – Critérios claros de gestão: descrição de cargo com atribuições, critérios de avaliação de desempenho, de advertência e de promoção/aumento, entregues e explicados a cada colaborador.</t>
        </is>
      </c>
      <c r="C11" s="5" t="inlineStr">
        <is>
          <t>Todos os GSEs (01 a 05) – 14 trabalhadores</t>
        </is>
      </c>
      <c r="D11" s="4" t="n">
        <v>14</v>
      </c>
      <c r="E11" s="4" t="inlineStr">
        <is>
          <t>Média</t>
        </is>
      </c>
      <c r="F11" s="4" t="inlineStr">
        <is>
          <t>Jan/2027 – Revisar anualmente</t>
        </is>
      </c>
      <c r="G11" s="5" t="inlineStr">
        <is>
          <t>Sócio-administrador / RH</t>
        </is>
      </c>
      <c r="H11" s="5" t="inlineStr">
        <is>
          <t>Descrições de cargo e manual de critérios assinados (ciência) por todos.</t>
        </is>
      </c>
      <c r="I11" s="5" t="inlineStr">
        <is>
          <t>% de colaboradores com ciência assinada (meta 100%) | Score "Insegurança" e "Justiça Organizacional" na reaplicação.</t>
        </is>
      </c>
      <c r="J11" s="4" t="inlineStr">
        <is>
          <t>Não iniciado</t>
        </is>
      </c>
    </row>
    <row r="12">
      <c r="A12" s="4" t="inlineStr">
        <is>
          <t>09</t>
        </is>
      </c>
      <c r="B12" s="5" t="inlineStr">
        <is>
          <t>ESTRESSE E EXAUSTÃO – Política de feedback: conversa individual de 15 min a cada 30 dias entre encarregado e cada colaborador (o que está bom, o que melhorar, dificuldades, apoio necessário), com registro em formulário simples.</t>
        </is>
      </c>
      <c r="C12" s="5" t="inlineStr">
        <is>
          <t>GSE 02 Adm./Caixa, GSE 04 Depósito, GSE 05 Supervisão (extensivo a todos)</t>
        </is>
      </c>
      <c r="D12" s="4" t="n">
        <v>11</v>
      </c>
      <c r="E12" s="4" t="inlineStr">
        <is>
          <t>Alta</t>
        </is>
      </c>
      <c r="F12" s="4" t="inlineStr">
        <is>
          <t>Nov/2026 – Reavaliar semestralmente</t>
        </is>
      </c>
      <c r="G12" s="5" t="inlineStr">
        <is>
          <t>Encarregado / Sócio-administrador</t>
        </is>
      </c>
      <c r="H12" s="5" t="inlineStr">
        <is>
          <t>Política de feedback; formulários de feedback mensais assinados pelo colaborador.</t>
        </is>
      </c>
      <c r="I12" s="5" t="inlineStr">
        <is>
          <t>% de feedbacks realizados no mês (meta ≥ 90%) | Absenteísmo | Turnover | Score "Estresse e Exaustão" na reaplicação.</t>
        </is>
      </c>
      <c r="J12" s="4" t="inlineStr">
        <is>
          <t>Não iniciado</t>
        </is>
      </c>
    </row>
    <row r="13">
      <c r="A13" s="4" t="inlineStr">
        <is>
          <t>10</t>
        </is>
      </c>
      <c r="B13" s="5" t="inlineStr">
        <is>
          <t>ESTRESSE E EXAUSTÃO – Controle de jornada e descanso: garantir intervalo intrajornada efetivo de 1 h, limite de 2 h extras/dia, folga semanal respeitada e folga em domingo ao menos 1x a cada 3 semanas (Lei 10.101/2000, art. 6º – comércio).</t>
        </is>
      </c>
      <c r="C13" s="5" t="inlineStr">
        <is>
          <t>GSE 02 Adm./Caixa, GSE 04 Depósito, GSE 05 Supervisão (extensivo a todos)</t>
        </is>
      </c>
      <c r="D13" s="4" t="n">
        <v>11</v>
      </c>
      <c r="E13" s="4" t="inlineStr">
        <is>
          <t>Alta</t>
        </is>
      </c>
      <c r="F13" s="4" t="inlineStr">
        <is>
          <t>Nov/2026 – Conferir mensalmente</t>
        </is>
      </c>
      <c r="G13" s="5" t="inlineStr">
        <is>
          <t>Sócio-administrador / Contabilidade</t>
        </is>
      </c>
      <c r="H13" s="5" t="inlineStr">
        <is>
          <t>Espelhos de ponto mensais; escala de folgas e domingos.</t>
        </is>
      </c>
      <c r="I13" s="5" t="inlineStr">
        <is>
          <t>Horas extras por trabalhador/mês (tendência de queda) | Nº de violações de intervalo/folga no mês (meta zero) | Absenteísmo.</t>
        </is>
      </c>
      <c r="J13" s="4" t="inlineStr">
        <is>
          <t>Não iniciado</t>
        </is>
      </c>
    </row>
    <row r="14">
      <c r="A14" s="4" t="inlineStr">
        <is>
          <t>11</t>
        </is>
      </c>
      <c r="B14" s="5" t="inlineStr">
        <is>
          <t>ESTRESSE E EXAUSTÃO / EXIGÊNCIAS EMOCIONAIS – Acolhimento psicológico: parceria com psicólogo, clínica-escola de faculdade (baixo custo) ou teleatendimento; fluxo de encaminhamento sigiloso feito pelo RH ou pelo próprio colaborador; casos com atestado CID F acompanhados no retorno ao trabalho.</t>
        </is>
      </c>
      <c r="C14" s="5" t="inlineStr">
        <is>
          <t>Todos os GSEs (01 a 05) – 14 trabalhadores</t>
        </is>
      </c>
      <c r="D14" s="4" t="n">
        <v>14</v>
      </c>
      <c r="E14" s="4" t="inlineStr">
        <is>
          <t>Alta</t>
        </is>
      </c>
      <c r="F14" s="4" t="inlineStr">
        <is>
          <t>Dez/2026 – Reavaliar trimestralmente</t>
        </is>
      </c>
      <c r="G14" s="5" t="inlineStr">
        <is>
          <t>Sócio-administrador / RH / Médico do PCMSO</t>
        </is>
      </c>
      <c r="H14" s="5" t="inlineStr">
        <is>
          <t>Contrato/termo de parceria; registro de encaminhamentos (sem identificar conteúdo, só data e nº); divulgação aos colaboradores.</t>
        </is>
      </c>
      <c r="I14" s="5" t="inlineStr">
        <is>
          <t>Nº de encaminhamentos/atendimentos por mês | Atestados CID F e afastamentos por saúde mental | Absenteísmo.</t>
        </is>
      </c>
      <c r="J14" s="4" t="inlineStr">
        <is>
          <t>Não iniciado</t>
        </is>
      </c>
    </row>
    <row r="15">
      <c r="A15" s="4" t="inlineStr">
        <is>
          <t>12</t>
        </is>
      </c>
      <c r="B15" s="5" t="inlineStr">
        <is>
          <t>EXIGÊNCIAS QUANTITATIVAS – Motorista: roteirização das entregas (janela de horário e nº máximo de entregas/dia, pedidos fechados até horário de corte). Encarregado: definir substituto nas folgas/férias (ex.: conferente como líder de turno) e lista de tarefas que podem ser delegadas.</t>
        </is>
      </c>
      <c r="C15" s="5" t="inlineStr">
        <is>
          <t>GSE 03 Logística, GSE 05 Supervisão</t>
        </is>
      </c>
      <c r="D15" s="4" t="n">
        <v>2</v>
      </c>
      <c r="E15" s="4" t="inlineStr">
        <is>
          <t>Média</t>
        </is>
      </c>
      <c r="F15" s="4" t="inlineStr">
        <is>
          <t>Dez/2026 – Reavaliar trimestralmente</t>
        </is>
      </c>
      <c r="G15" s="5" t="inlineStr">
        <is>
          <t>Sócio-administrador / Encarregado</t>
        </is>
      </c>
      <c r="H15" s="5" t="inlineStr">
        <is>
          <t>Roteiro/planilha de entregas diária; designação formal do substituto; lista de tarefas delegadas.</t>
        </is>
      </c>
      <c r="I15" s="5" t="inlineStr">
        <is>
          <t>Horas extras do motorista e do encarregado | Entregas fora do prazo/mês | Score "Exigências Quantitativas" na reaplicação.</t>
        </is>
      </c>
      <c r="J15" s="4" t="inlineStr">
        <is>
          <t>Não iniciado</t>
        </is>
      </c>
    </row>
    <row r="16">
      <c r="A16" s="4" t="inlineStr">
        <is>
          <t>13</t>
        </is>
      </c>
      <c r="B16" s="5" t="inlineStr">
        <is>
          <t>EXIGÊNCIAS EMOCIONAIS – Protocolo de atendimento a cliente agressivo ou em conflito: colaborador não negocia sozinho, chama o encarregado/sócio; encarregado tem respaldo da direção; ocorrência registrada; conversa de acolhimento após o episódio. Treinamento de 2 h em atendimento a cliente difícil e comunicação não violenta.</t>
        </is>
      </c>
      <c r="C16" s="5" t="inlineStr">
        <is>
          <t>GSE 05 Supervisão (extensivo a GSE 01 e GSE 02 – atendimento ao público)</t>
        </is>
      </c>
      <c r="D16" s="4" t="n">
        <v>9</v>
      </c>
      <c r="E16" s="4" t="inlineStr">
        <is>
          <t>Alta</t>
        </is>
      </c>
      <c r="F16" s="4" t="inlineStr">
        <is>
          <t>Dez/2026 – Reciclagem anual</t>
        </is>
      </c>
      <c r="G16" s="5" t="inlineStr">
        <is>
          <t>Encarregado / Sócio-administrador / RH / SKX Engenharia</t>
        </is>
      </c>
      <c r="H16" s="5" t="inlineStr">
        <is>
          <t>Protocolo afixado no caixa/padaria; livro ou formulário de ocorrências com clientes; lista de presença e material do treinamento.</t>
        </is>
      </c>
      <c r="I16" s="5" t="inlineStr">
        <is>
          <t>Nº de ocorrências com clientes/mês | % da equipe de atendimento treinada (meta 100%) | Atestados CID F | Score "Exigências Emocionais" na reaplicação.</t>
        </is>
      </c>
      <c r="J16" s="4" t="inlineStr">
        <is>
          <t>Não iniciado</t>
        </is>
      </c>
    </row>
    <row r="17" ht="20" customHeight="1">
      <c r="A17" s="2" t="inlineStr">
        <is>
          <t>BLOCO C — POLÍTICAS TRANSVERSAIS (prevenção a assédio, escuta e liderança)</t>
        </is>
      </c>
      <c r="B17" s="19" t="n"/>
      <c r="C17" s="19" t="n"/>
      <c r="D17" s="19" t="n"/>
      <c r="E17" s="19" t="n"/>
      <c r="F17" s="19" t="n"/>
      <c r="G17" s="19" t="n"/>
      <c r="H17" s="19" t="n"/>
      <c r="I17" s="19" t="n"/>
      <c r="J17" s="20" t="n"/>
    </row>
    <row r="18">
      <c r="A18" s="4" t="inlineStr">
        <is>
          <t>14</t>
        </is>
      </c>
      <c r="B18" s="5" t="inlineStr">
        <is>
          <t>Implantar canal de denúncia anônima (QR code com formulário on-line + caixa física de sugestões/denúncias) e procedimento de apuração conduzido por pessoa fora da linha hierárquica direta, com prazo de resposta e garantia de não retaliação. Obs.: obrigatório pela Lei 14.457/2022 para empresas com CIPA; aqui recomendado como boa prática NR-01.</t>
        </is>
      </c>
      <c r="C18" s="5" t="inlineStr">
        <is>
          <t>Todos os GSEs (01 a 05) – 14 trabalhadores</t>
        </is>
      </c>
      <c r="D18" s="4" t="n">
        <v>14</v>
      </c>
      <c r="E18" s="4" t="inlineStr">
        <is>
          <t>Alta</t>
        </is>
      </c>
      <c r="F18" s="4" t="inlineStr">
        <is>
          <t>Nov/2026 – Reavaliar semestralmente</t>
        </is>
      </c>
      <c r="G18" s="5" t="inlineStr">
        <is>
          <t>Sócio-administrador / Sócio-administrador / RH</t>
        </is>
      </c>
      <c r="H18" s="5" t="inlineStr">
        <is>
          <t>Cartaz/QR code afixado; procedimento escrito de apuração; registro das denúncias e relatórios de apuração.</t>
        </is>
      </c>
      <c r="I18" s="5" t="inlineStr">
        <is>
          <t>Nº de denúncias recebidas | Tempo médio de apuração | % de denúncias concluídas | Afastamentos, turnover e absenteísmo.</t>
        </is>
      </c>
      <c r="J18" s="4" t="inlineStr">
        <is>
          <t>Não iniciado</t>
        </is>
      </c>
    </row>
    <row r="19">
      <c r="A19" s="4" t="inlineStr">
        <is>
          <t>15</t>
        </is>
      </c>
      <c r="B19" s="5" t="inlineStr">
        <is>
          <t>Política de prevenção e combate ao assédio moral e sexual (condutas proibidas, como denunciar, consequências) + treinamento anual de 1 h para todos.</t>
        </is>
      </c>
      <c r="C19" s="5" t="inlineStr">
        <is>
          <t>Todos os GSEs (01 a 05) – 14 trabalhadores</t>
        </is>
      </c>
      <c r="D19" s="4" t="n">
        <v>14</v>
      </c>
      <c r="E19" s="4" t="inlineStr">
        <is>
          <t>Alta</t>
        </is>
      </c>
      <c r="F19" s="4" t="inlineStr">
        <is>
          <t>Dez/2026 – Treinamento anual</t>
        </is>
      </c>
      <c r="G19" s="5" t="inlineStr">
        <is>
          <t>Sócio-administrador / Sócio-administrador / RH / SKX Engenharia</t>
        </is>
      </c>
      <c r="H19" s="5" t="inlineStr">
        <is>
          <t>Política assinada (ciência) por todos; lista de presença, material e certificados do treinamento.</t>
        </is>
      </c>
      <c r="I19" s="5" t="inlineStr">
        <is>
          <t>% de colaboradores treinados (meta 100%) | Nº de denúncias de assédio | Afastamentos, turnover e absenteísmo.</t>
        </is>
      </c>
      <c r="J19" s="4" t="inlineStr">
        <is>
          <t>Não iniciado</t>
        </is>
      </c>
    </row>
    <row r="20">
      <c r="A20" s="4" t="inlineStr">
        <is>
          <t>16</t>
        </is>
      </c>
      <c r="B20" s="5" t="inlineStr">
        <is>
          <t>Capacitar a liderança (sócios e encarregado) em gestão de pessoas e riscos psicossociais: como dar feedback, identificar sinais de esgotamento, conduzir conflitos e acolher.</t>
        </is>
      </c>
      <c r="C20" s="5" t="inlineStr">
        <is>
          <t>GSE 05 Supervisão + sócios</t>
        </is>
      </c>
      <c r="D20" s="4" t="n">
        <v>2</v>
      </c>
      <c r="E20" s="4" t="inlineStr">
        <is>
          <t>Alta</t>
        </is>
      </c>
      <c r="F20" s="4" t="inlineStr">
        <is>
          <t>Dez/2026 – Reciclagem anual</t>
        </is>
      </c>
      <c r="G20" s="5" t="inlineStr">
        <is>
          <t>SKX Engenharia / Sócio-administrador / RH</t>
        </is>
      </c>
      <c r="H20" s="5" t="inlineStr">
        <is>
          <t>Lista de presença, material e certificado.</t>
        </is>
      </c>
      <c r="I20" s="5" t="inlineStr">
        <is>
          <t>% de líderes treinados (meta 100%) | Score "Qualidade/Apoio da Liderança" e "Estresse" na reaplicação.</t>
        </is>
      </c>
      <c r="J20" s="4" t="inlineStr">
        <is>
          <t>Não iniciado</t>
        </is>
      </c>
    </row>
    <row r="21">
      <c r="A21" s="4" t="inlineStr">
        <is>
          <t>17</t>
        </is>
      </c>
      <c r="B21" s="5" t="inlineStr">
        <is>
          <t>DDS semanal de 10 min (segunda-feira, início do turno) alternando temas de segurança e saúde mental: pausas, postura, calor na padaria, atendimento a clientes, canal de denúncia, sinais de estresse.</t>
        </is>
      </c>
      <c r="C21" s="5" t="inlineStr">
        <is>
          <t>Todos os GSEs (01 a 05) – 14 trabalhadores</t>
        </is>
      </c>
      <c r="D21" s="4" t="n">
        <v>14</v>
      </c>
      <c r="E21" s="4" t="inlineStr">
        <is>
          <t>Média</t>
        </is>
      </c>
      <c r="F21" s="4" t="inlineStr">
        <is>
          <t>Nov/2026 – Contínuo</t>
        </is>
      </c>
      <c r="G21" s="5" t="inlineStr">
        <is>
          <t>Encarregado</t>
        </is>
      </c>
      <c r="H21" s="5" t="inlineStr">
        <is>
          <t>Cronograma anual de temas; lista de presença de cada DDS.</t>
        </is>
      </c>
      <c r="I21" s="5" t="inlineStr">
        <is>
          <t>% de DDS realizados conforme cronograma (meta ≥ 90%) | Participação média.</t>
        </is>
      </c>
      <c r="J21" s="4" t="inlineStr">
        <is>
          <t>Não iniciado</t>
        </is>
      </c>
    </row>
    <row r="22" ht="20" customHeight="1">
      <c r="A22" s="2" t="inlineStr">
        <is>
          <t>BLOCO D — DEMAIS RISCOS DO PGR E OBRIGAÇÕES LEGAIS</t>
        </is>
      </c>
      <c r="B22" s="19" t="n"/>
      <c r="C22" s="19" t="n"/>
      <c r="D22" s="19" t="n"/>
      <c r="E22" s="19" t="n"/>
      <c r="F22" s="19" t="n"/>
      <c r="G22" s="19" t="n"/>
      <c r="H22" s="19" t="n"/>
      <c r="I22" s="19" t="n"/>
      <c r="J22" s="20" t="n"/>
    </row>
    <row r="23">
      <c r="A23" s="4" t="inlineStr">
        <is>
          <t>18</t>
        </is>
      </c>
      <c r="B23" s="5" t="inlineStr">
        <is>
          <t>Físico: Manutenção periódica em máquinas e equipamentos. Pausas para restabelecimento da temperatura corporal.</t>
        </is>
      </c>
      <c r="C23" s="5" t="inlineStr">
        <is>
          <t>Setor GSE 01</t>
        </is>
      </c>
      <c r="D23" s="4" t="n">
        <v>2</v>
      </c>
      <c r="E23" s="4" t="inlineStr">
        <is>
          <t>Média</t>
        </is>
      </c>
      <c r="F23" s="4" t="inlineStr">
        <is>
          <t>Dez/2026</t>
        </is>
      </c>
      <c r="G23" s="5" t="inlineStr">
        <is>
          <t>RH da empresa</t>
        </is>
      </c>
      <c r="H23" s="5" t="inlineStr">
        <is>
          <t>Ordens de serviço de manutenção do forno; escala de pausas da padaria; bebedouro disponível próximo ao setor.</t>
        </is>
      </c>
      <c r="I23" s="5" t="inlineStr">
        <is>
          <t>Manutenções realizadas no prazo | Queixas de mal-estar por calor | Atestados do setor.</t>
        </is>
      </c>
      <c r="J23" s="4" t="inlineStr">
        <is>
          <t>Não iniciado</t>
        </is>
      </c>
    </row>
    <row r="24">
      <c r="A24" s="4" t="inlineStr">
        <is>
          <t>19</t>
        </is>
      </c>
      <c r="B24" s="5" t="inlineStr">
        <is>
          <t>Ergonômico: Realização de análise ergonômica do local de trabalho; pausas de 10 minutos a cada 50 minutos de trabalho.</t>
        </is>
      </c>
      <c r="C24" s="5" t="inlineStr">
        <is>
          <t>Setor GSE 02</t>
        </is>
      </c>
      <c r="D24" s="4" t="n">
        <v>2</v>
      </c>
      <c r="E24" s="4" t="inlineStr">
        <is>
          <t>Média</t>
        </is>
      </c>
      <c r="F24" s="4" t="inlineStr">
        <is>
          <t>Dez/2026</t>
        </is>
      </c>
      <c r="G24" s="5" t="inlineStr">
        <is>
          <t>RH da empresa</t>
        </is>
      </c>
      <c r="H24" s="5" t="inlineStr">
        <is>
          <t>Relatório da AEP/AET; registro de ajustes de posto (cadeira, monitor, altura do caixa); escala de pausas.</t>
        </is>
      </c>
      <c r="I24" s="5" t="inlineStr">
        <is>
          <t>Ajustes recomendados implantados (%) | Atestados CID M | Queixas de dor no PCMSO.</t>
        </is>
      </c>
      <c r="J24" s="4" t="inlineStr">
        <is>
          <t>Não iniciado</t>
        </is>
      </c>
    </row>
    <row r="25">
      <c r="A25" s="4" t="inlineStr">
        <is>
          <t>20</t>
        </is>
      </c>
      <c r="B25" s="5" t="inlineStr">
        <is>
          <t>Acidente: Transitar com atenção. Respeitar o CTB. Treinamento de Direção defensiva.</t>
        </is>
      </c>
      <c r="C25" s="5" t="inlineStr">
        <is>
          <t>Setor GSE 03</t>
        </is>
      </c>
      <c r="D25" s="4" t="n">
        <v>2</v>
      </c>
      <c r="E25" s="4" t="inlineStr">
        <is>
          <t>Média</t>
        </is>
      </c>
      <c r="F25" s="4" t="inlineStr">
        <is>
          <t>Dez/2026</t>
        </is>
      </c>
      <c r="G25" s="5" t="inlineStr">
        <is>
          <t>RH da empresa</t>
        </is>
      </c>
      <c r="H25" s="5" t="inlineStr">
        <is>
          <t>Lista de presença ou certificado do treinamento/capacitação realizado.</t>
        </is>
      </c>
      <c r="I25" s="5" t="inlineStr">
        <is>
          <t>Reciclagem cumprida dentro do prazo e avaliação de aprendizado ao final do treinamento.</t>
        </is>
      </c>
      <c r="J25" s="4" t="inlineStr">
        <is>
          <t>Não iniciado</t>
        </is>
      </c>
    </row>
    <row r="26">
      <c r="A26" s="4" t="inlineStr">
        <is>
          <t>21</t>
        </is>
      </c>
      <c r="B26" s="5" t="inlineStr">
        <is>
          <t>Realizar/atualizar treinamento: NR 01 - Disposições Gerais e Gerenciamento de Riscos Ocupacionais</t>
        </is>
      </c>
      <c r="C26" s="5" t="inlineStr">
        <is>
          <t>Setor GSE 01, Setor GSE 02, Setor GSE 03, Setor GSE 04, Setor GSE 05</t>
        </is>
      </c>
      <c r="D26" s="4" t="n">
        <v>8</v>
      </c>
      <c r="E26" s="4" t="inlineStr">
        <is>
          <t>Obrigatório (NR)</t>
        </is>
      </c>
      <c r="F26" s="4" t="inlineStr">
        <is>
          <t>Dez/2026</t>
        </is>
      </c>
      <c r="G26" s="5" t="inlineStr">
        <is>
          <t>RH da empresa</t>
        </is>
      </c>
      <c r="H26" s="5" t="inlineStr">
        <is>
          <t>Registro/lista de presença</t>
        </is>
      </c>
      <c r="I26" s="5" t="inlineStr">
        <is>
          <t>Certificados válidos para 100% dos trabalhadores indicados.</t>
        </is>
      </c>
      <c r="J26" s="4" t="inlineStr">
        <is>
          <t>Não iniciado</t>
        </is>
      </c>
    </row>
    <row r="27">
      <c r="A27" s="4" t="inlineStr">
        <is>
          <t>22</t>
        </is>
      </c>
      <c r="B27" s="5" t="inlineStr">
        <is>
          <t>Realizar/atualizar treinamento: NR 06 - Equipamento de Proteção Individual (EPI)</t>
        </is>
      </c>
      <c r="C27" s="5" t="inlineStr">
        <is>
          <t>Setor GSE 01, Setor GSE 03, Setor GSE 04, Setor GSE 05</t>
        </is>
      </c>
      <c r="D27" s="4" t="n">
        <v>6</v>
      </c>
      <c r="E27" s="4" t="inlineStr">
        <is>
          <t>Obrigatório (NR)</t>
        </is>
      </c>
      <c r="F27" s="4" t="inlineStr">
        <is>
          <t>Dez/2026</t>
        </is>
      </c>
      <c r="G27" s="5" t="inlineStr">
        <is>
          <t>RH da empresa</t>
        </is>
      </c>
      <c r="H27" s="5" t="inlineStr">
        <is>
          <t>Registro/lista de presença</t>
        </is>
      </c>
      <c r="I27" s="5" t="inlineStr">
        <is>
          <t>Certificados válidos para 100% dos trabalhadores indicados.</t>
        </is>
      </c>
      <c r="J27" s="4" t="inlineStr">
        <is>
          <t>Não iniciado</t>
        </is>
      </c>
    </row>
    <row r="28">
      <c r="A28" s="4" t="inlineStr">
        <is>
          <t>23</t>
        </is>
      </c>
      <c r="B28" s="5" t="inlineStr">
        <is>
          <t>Realizar/atualizar treinamento: NR 12 - Segurança no Trabalho em Máquinas e Equipamentos</t>
        </is>
      </c>
      <c r="C28" s="5" t="inlineStr">
        <is>
          <t>Setor GSE 01</t>
        </is>
      </c>
      <c r="D28" s="4" t="n">
        <v>2</v>
      </c>
      <c r="E28" s="4" t="inlineStr">
        <is>
          <t>Obrigatório (NR)</t>
        </is>
      </c>
      <c r="F28" s="4" t="inlineStr">
        <is>
          <t>Dez/2026</t>
        </is>
      </c>
      <c r="G28" s="5" t="inlineStr">
        <is>
          <t>RH da empresa</t>
        </is>
      </c>
      <c r="H28" s="5" t="inlineStr">
        <is>
          <t>Registro/lista de presença</t>
        </is>
      </c>
      <c r="I28" s="5" t="inlineStr">
        <is>
          <t>Certificados válidos para 100% dos trabalhadores indicados.</t>
        </is>
      </c>
      <c r="J28" s="4" t="inlineStr">
        <is>
          <t>Não iniciado</t>
        </is>
      </c>
    </row>
    <row r="29">
      <c r="A29" s="4" t="inlineStr">
        <is>
          <t>24</t>
        </is>
      </c>
      <c r="B29" s="5" t="inlineStr">
        <is>
          <t>Realizar/atualizar treinamento: NR 17 - Ergonomia</t>
        </is>
      </c>
      <c r="C29" s="5" t="inlineStr">
        <is>
          <t>Setor GSE 01, Setor GSE 02, Setor GSE 03, Setor GSE 04, Setor GSE 05</t>
        </is>
      </c>
      <c r="D29" s="4" t="n">
        <v>8</v>
      </c>
      <c r="E29" s="4" t="inlineStr">
        <is>
          <t>Obrigatório (NR)</t>
        </is>
      </c>
      <c r="F29" s="4" t="inlineStr">
        <is>
          <t>Dez/2026</t>
        </is>
      </c>
      <c r="G29" s="5" t="inlineStr">
        <is>
          <t>RH da empresa</t>
        </is>
      </c>
      <c r="H29" s="5" t="inlineStr">
        <is>
          <t>Registro/lista de presença</t>
        </is>
      </c>
      <c r="I29" s="5" t="inlineStr">
        <is>
          <t>Certificados válidos para 100% dos trabalhadores indicados.</t>
        </is>
      </c>
      <c r="J29" s="4" t="inlineStr">
        <is>
          <t>Não iniciado</t>
        </is>
      </c>
    </row>
    <row r="30">
      <c r="A30" s="4" t="inlineStr">
        <is>
          <t>25</t>
        </is>
      </c>
      <c r="B30" s="5" t="inlineStr">
        <is>
          <t>Realizar/atualizar treinamento: NR 23 - Proteção Contra Incêndios</t>
        </is>
      </c>
      <c r="C30" s="5" t="inlineStr">
        <is>
          <t>Setor GSE 01, Setor GSE 02, Setor GSE 03, Setor GSE 04, Setor GSE 05</t>
        </is>
      </c>
      <c r="D30" s="4" t="n">
        <v>8</v>
      </c>
      <c r="E30" s="4" t="inlineStr">
        <is>
          <t>Obrigatório (NR)</t>
        </is>
      </c>
      <c r="F30" s="4" t="inlineStr">
        <is>
          <t>Dez/2026</t>
        </is>
      </c>
      <c r="G30" s="5" t="inlineStr">
        <is>
          <t>RH da empresa</t>
        </is>
      </c>
      <c r="H30" s="5" t="inlineStr">
        <is>
          <t>Registro/lista de presença</t>
        </is>
      </c>
      <c r="I30" s="5" t="inlineStr">
        <is>
          <t>Certificados válidos para 100% dos trabalhadores indicados.</t>
        </is>
      </c>
      <c r="J30" s="4" t="inlineStr">
        <is>
          <t>Não iniciado</t>
        </is>
      </c>
    </row>
    <row r="31">
      <c r="A31" s="4" t="inlineStr">
        <is>
          <t>26</t>
        </is>
      </c>
      <c r="B31" s="5" t="inlineStr">
        <is>
          <t>Realizar/atualizar treinamento: NR 26 - Sinalização de Segurança</t>
        </is>
      </c>
      <c r="C31" s="5" t="inlineStr">
        <is>
          <t>Setor GSE 01, Setor GSE 02, Setor GSE 03, Setor GSE 04, Setor GSE 05</t>
        </is>
      </c>
      <c r="D31" s="4" t="n">
        <v>8</v>
      </c>
      <c r="E31" s="4" t="inlineStr">
        <is>
          <t>Obrigatório (NR)</t>
        </is>
      </c>
      <c r="F31" s="4" t="inlineStr">
        <is>
          <t>Dez/2026</t>
        </is>
      </c>
      <c r="G31" s="5" t="inlineStr">
        <is>
          <t>RH da empresa</t>
        </is>
      </c>
      <c r="H31" s="5" t="inlineStr">
        <is>
          <t>Registro/lista de presença</t>
        </is>
      </c>
      <c r="I31" s="5" t="inlineStr">
        <is>
          <t>Certificados válidos para 100% dos trabalhadores indicados.</t>
        </is>
      </c>
      <c r="J31" s="4" t="inlineStr">
        <is>
          <t>Não iniciado</t>
        </is>
      </c>
    </row>
    <row r="32">
      <c r="A32" s="4" t="inlineStr">
        <is>
          <t>27</t>
        </is>
      </c>
      <c r="B32" s="5" t="inlineStr">
        <is>
          <t>Analisar o PGR quanto à exposição aos riscos ocupacionais buscando a mitigação (Periodicidade: Rotineiramente)</t>
        </is>
      </c>
      <c r="C32" s="5" t="inlineStr">
        <is>
          <t>Todos os setores</t>
        </is>
      </c>
      <c r="D32" s="4" t="inlineStr">
        <is>
          <t>—</t>
        </is>
      </c>
      <c r="E32" s="4" t="inlineStr">
        <is>
          <t>Obrigatório (legal)</t>
        </is>
      </c>
      <c r="F32" s="4" t="inlineStr">
        <is>
          <t>Dez/2026</t>
        </is>
      </c>
      <c r="G32" s="5" t="inlineStr">
        <is>
          <t>RH da empresa</t>
        </is>
      </c>
      <c r="H32" s="5" t="inlineStr">
        <is>
          <t>PGR revisado com histórico de revisões.</t>
        </is>
      </c>
      <c r="I32" s="5" t="inlineStr">
        <is>
          <t>Revisão realizada em caso de mudança ou a cada 2 anos.</t>
        </is>
      </c>
      <c r="J32" s="4" t="inlineStr">
        <is>
          <t>Não iniciado</t>
        </is>
      </c>
    </row>
    <row r="33">
      <c r="A33" s="4" t="inlineStr">
        <is>
          <t>28</t>
        </is>
      </c>
      <c r="B33" s="5" t="inlineStr">
        <is>
          <t>Laudo de Insalubridade (Periodicidade: Após a elaboração do PGR)</t>
        </is>
      </c>
      <c r="C33" s="5" t="inlineStr">
        <is>
          <t>Todos os setores</t>
        </is>
      </c>
      <c r="D33" s="4" t="inlineStr">
        <is>
          <t>—</t>
        </is>
      </c>
      <c r="E33" s="4" t="inlineStr">
        <is>
          <t>Obrigatório (legal)</t>
        </is>
      </c>
      <c r="F33" s="4" t="inlineStr">
        <is>
          <t>Dez/2026</t>
        </is>
      </c>
      <c r="G33" s="5" t="inlineStr">
        <is>
          <t>RH da empresa</t>
        </is>
      </c>
      <c r="H33" s="5" t="inlineStr">
        <is>
          <t>Laudo emitido e assinado.</t>
        </is>
      </c>
      <c r="I33" s="5" t="inlineStr">
        <is>
          <t>Laudo vigente.</t>
        </is>
      </c>
      <c r="J33" s="4" t="inlineStr">
        <is>
          <t>Não iniciado</t>
        </is>
      </c>
    </row>
    <row r="34">
      <c r="A34" s="4" t="inlineStr">
        <is>
          <t>29</t>
        </is>
      </c>
      <c r="B34" s="5" t="inlineStr">
        <is>
          <t>Elaboração de AEP - Análise Ergonômica Preliminar (Periodicidade: Após a elaboração do PGR)</t>
        </is>
      </c>
      <c r="C34" s="5" t="inlineStr">
        <is>
          <t>Todos os setores</t>
        </is>
      </c>
      <c r="D34" s="4" t="inlineStr">
        <is>
          <t>—</t>
        </is>
      </c>
      <c r="E34" s="4" t="inlineStr">
        <is>
          <t>Obrigatório (legal)</t>
        </is>
      </c>
      <c r="F34" s="4" t="inlineStr">
        <is>
          <t>Dez/2026</t>
        </is>
      </c>
      <c r="G34" s="5" t="inlineStr">
        <is>
          <t>RH da empresa</t>
        </is>
      </c>
      <c r="H34" s="5" t="inlineStr">
        <is>
          <t>AEP emitida e assinada.</t>
        </is>
      </c>
      <c r="I34" s="5" t="inlineStr">
        <is>
          <t>Recomendações implantadas (%).</t>
        </is>
      </c>
      <c r="J34" s="4" t="inlineStr">
        <is>
          <t>Não iniciado</t>
        </is>
      </c>
    </row>
    <row r="35">
      <c r="A35" s="4" t="inlineStr">
        <is>
          <t>30</t>
        </is>
      </c>
      <c r="B35" s="5" t="inlineStr">
        <is>
          <t>Monitoramento das avaliações quantitativas conforme riscos priorizados (Periodicidade: Após a elaboração do PGR)</t>
        </is>
      </c>
      <c r="C35" s="5" t="inlineStr">
        <is>
          <t>Todos os setores</t>
        </is>
      </c>
      <c r="D35" s="4" t="inlineStr">
        <is>
          <t>—</t>
        </is>
      </c>
      <c r="E35" s="4" t="inlineStr">
        <is>
          <t>Obrigatório (legal)</t>
        </is>
      </c>
      <c r="F35" s="4" t="inlineStr">
        <is>
          <t>Dez/2026</t>
        </is>
      </c>
      <c r="G35" s="5" t="inlineStr">
        <is>
          <t>RH da empresa</t>
        </is>
      </c>
      <c r="H35" s="5" t="inlineStr">
        <is>
          <t>Relatórios de medição (ex.: calor na padaria).</t>
        </is>
      </c>
      <c r="I35" s="5" t="inlineStr">
        <is>
          <t>Resultados dentro dos limites da NR-15 / NHO 06.</t>
        </is>
      </c>
      <c r="J35" s="4" t="inlineStr">
        <is>
          <t>Não iniciado</t>
        </is>
      </c>
    </row>
    <row r="36">
      <c r="A36" s="4" t="inlineStr">
        <is>
          <t>31</t>
        </is>
      </c>
      <c r="B36" s="5" t="inlineStr">
        <is>
          <t>Elaboração do Programa de Controle Médico da Saúde Ocupacional (PCMSO) (Periodicidade: Após a elaboração do PGR)</t>
        </is>
      </c>
      <c r="C36" s="5" t="inlineStr">
        <is>
          <t>Todos os setores</t>
        </is>
      </c>
      <c r="D36" s="4" t="inlineStr">
        <is>
          <t>—</t>
        </is>
      </c>
      <c r="E36" s="4" t="inlineStr">
        <is>
          <t>Obrigatório (legal)</t>
        </is>
      </c>
      <c r="F36" s="4" t="inlineStr">
        <is>
          <t>Dez/2026</t>
        </is>
      </c>
      <c r="G36" s="5" t="inlineStr">
        <is>
          <t>SKX Engenharia</t>
        </is>
      </c>
      <c r="H36" s="5" t="inlineStr">
        <is>
          <t>Programa elaborado</t>
        </is>
      </c>
      <c r="I36" s="5" t="inlineStr">
        <is>
          <t>Programa atualizado em 02/10/2026</t>
        </is>
      </c>
      <c r="J36" s="4" t="inlineStr">
        <is>
          <t>Não iniciado</t>
        </is>
      </c>
    </row>
    <row r="37">
      <c r="A37" s="4" t="inlineStr">
        <is>
          <t>32</t>
        </is>
      </c>
      <c r="B37" s="5" t="inlineStr">
        <is>
          <t>Elaboração do Laudo Técnico das Condições Ambientais do Trabalho (LTCAT) (Periodicidade: Após a elaboração do PGR)</t>
        </is>
      </c>
      <c r="C37" s="5" t="inlineStr">
        <is>
          <t>Todos os setores</t>
        </is>
      </c>
      <c r="D37" s="4" t="inlineStr">
        <is>
          <t>—</t>
        </is>
      </c>
      <c r="E37" s="4" t="inlineStr">
        <is>
          <t>Obrigatório (legal)</t>
        </is>
      </c>
      <c r="F37" s="4" t="inlineStr">
        <is>
          <t>Dez/2026</t>
        </is>
      </c>
      <c r="G37" s="5" t="inlineStr">
        <is>
          <t>SKX Engenharia</t>
        </is>
      </c>
      <c r="H37" s="5" t="inlineStr">
        <is>
          <t>Laudo elaborado</t>
        </is>
      </c>
      <c r="I37" s="5" t="inlineStr">
        <is>
          <t>Laudo atualizado em 02/10/2026</t>
        </is>
      </c>
      <c r="J37" s="4" t="inlineStr">
        <is>
          <t>Não iniciado</t>
        </is>
      </c>
    </row>
  </sheetData>
  <mergeCells count="4">
    <mergeCell ref="A6:J6"/>
    <mergeCell ref="A22:J22"/>
    <mergeCell ref="A17:J17"/>
    <mergeCell ref="A2:J2"/>
  </mergeCells>
  <conditionalFormatting sqref="J2:J37">
    <cfRule type="expression" priority="1" dxfId="0">
      <formula>$J2="Realizado"</formula>
    </cfRule>
    <cfRule type="expression" priority="2" dxfId="1">
      <formula>$J2="Em andamento"</formula>
    </cfRule>
    <cfRule type="expression" priority="3" dxfId="2">
      <formula>$J2="Atrasado"</formula>
    </cfRule>
  </conditionalFormatting>
  <dataValidations count="1">
    <dataValidation sqref="J2:J37" showDropDown="0" showInputMessage="0" showErrorMessage="0" allowBlank="1" type="list">
      <formula1>"Não iniciado,Em andamento,Realizado,Atrasado"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6" t="inlineStr">
        <is>
          <t>PAINEL MENSAL DE INDICADORES – LUP (preencher até o dia 10 de cada mês)</t>
        </is>
      </c>
    </row>
    <row r="2">
      <c r="A2" s="7" t="inlineStr">
        <is>
          <t>Células em amarelo = preenchimento manual. Colunas em cinza = cálculo automático (não editar). Fontes: folha de ponto, atestados, eSocial/CAGED, CATs.</t>
        </is>
      </c>
    </row>
    <row r="4" ht="54" customHeight="1">
      <c r="A4" s="8" t="inlineStr">
        <is>
          <t>Mês</t>
        </is>
      </c>
      <c r="B4" s="8" t="inlineStr">
        <is>
          <t>Efetivo início do mês</t>
        </is>
      </c>
      <c r="C4" s="8" t="inlineStr">
        <is>
          <t>Efetivo fim do mês</t>
        </is>
      </c>
      <c r="D4" s="8" t="inlineStr">
        <is>
          <t>Admissões</t>
        </is>
      </c>
      <c r="E4" s="8" t="inlineStr">
        <is>
          <t>Desligamentos</t>
        </is>
      </c>
      <c r="F4" s="8" t="inlineStr">
        <is>
          <t>Horas previstas (efetivo × horas contratuais)</t>
        </is>
      </c>
      <c r="G4" s="8" t="inlineStr">
        <is>
          <t>Horas de ausência (faltas + atestados)</t>
        </is>
      </c>
      <c r="H4" s="8" t="inlineStr">
        <is>
          <t>Nº de atestados (total)</t>
        </is>
      </c>
      <c r="I4" s="8" t="inlineStr">
        <is>
          <t>Atestados CID F (saúde mental)</t>
        </is>
      </c>
      <c r="J4" s="8" t="inlineStr">
        <is>
          <t>Atestados CID M (osteomuscular)</t>
        </is>
      </c>
      <c r="K4" s="8" t="inlineStr">
        <is>
          <t>Afastamentos &gt;15 dias (INSS)</t>
        </is>
      </c>
      <c r="L4" s="8" t="inlineStr">
        <is>
          <t>CATs emitidas</t>
        </is>
      </c>
      <c r="M4" s="8" t="inlineStr">
        <is>
          <t>Horas extras (total)</t>
        </is>
      </c>
      <c r="N4" s="8" t="inlineStr">
        <is>
          <t>Denúncias recebidas</t>
        </is>
      </c>
      <c r="O4" s="8" t="inlineStr">
        <is>
          <t>Denúncias concluídas</t>
        </is>
      </c>
      <c r="P4" s="9" t="inlineStr">
        <is>
          <t>Efetivo médio</t>
        </is>
      </c>
      <c r="Q4" s="9" t="inlineStr">
        <is>
          <t>Turnover %</t>
        </is>
      </c>
      <c r="R4" s="9" t="inlineStr">
        <is>
          <t>Absenteísmo %</t>
        </is>
      </c>
      <c r="S4" s="9" t="inlineStr">
        <is>
          <t>Horas extras por trabalhador</t>
        </is>
      </c>
      <c r="T4" s="9" t="inlineStr">
        <is>
          <t>% denúncias concluídas</t>
        </is>
      </c>
    </row>
    <row r="5">
      <c r="A5" s="10" t="inlineStr">
        <is>
          <t>Nov/2026</t>
        </is>
      </c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2">
        <f>IF(COUNT(B5:C5)=2,(B5+C5)/2,"")</f>
        <v/>
      </c>
      <c r="Q5" s="13">
        <f>IF(AND(ISNUMBER(P5),P5&gt;0),((D5+E5)/2)/P5,"")</f>
        <v/>
      </c>
      <c r="R5" s="13">
        <f>IF(AND(ISNUMBER(F5),F5&gt;0),G5/F5,"")</f>
        <v/>
      </c>
      <c r="S5" s="12">
        <f>IF(AND(ISNUMBER(P5),P5&gt;0),M5/P5,"")</f>
        <v/>
      </c>
      <c r="T5" s="13">
        <f>IF(AND(ISNUMBER(N5),N5&gt;0),O5/N5,"")</f>
        <v/>
      </c>
    </row>
    <row r="6">
      <c r="A6" s="10" t="inlineStr">
        <is>
          <t>Dez/2026</t>
        </is>
      </c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2">
        <f>IF(COUNT(B6:C6)=2,(B6+C6)/2,"")</f>
        <v/>
      </c>
      <c r="Q6" s="13">
        <f>IF(AND(ISNUMBER(P6),P6&gt;0),((D6+E6)/2)/P6,"")</f>
        <v/>
      </c>
      <c r="R6" s="13">
        <f>IF(AND(ISNUMBER(F6),F6&gt;0),G6/F6,"")</f>
        <v/>
      </c>
      <c r="S6" s="12">
        <f>IF(AND(ISNUMBER(P6),P6&gt;0),M6/P6,"")</f>
        <v/>
      </c>
      <c r="T6" s="13">
        <f>IF(AND(ISNUMBER(N6),N6&gt;0),O6/N6,"")</f>
        <v/>
      </c>
    </row>
    <row r="7">
      <c r="A7" s="10" t="inlineStr">
        <is>
          <t>Jan/2027</t>
        </is>
      </c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2">
        <f>IF(COUNT(B7:C7)=2,(B7+C7)/2,"")</f>
        <v/>
      </c>
      <c r="Q7" s="13">
        <f>IF(AND(ISNUMBER(P7),P7&gt;0),((D7+E7)/2)/P7,"")</f>
        <v/>
      </c>
      <c r="R7" s="13">
        <f>IF(AND(ISNUMBER(F7),F7&gt;0),G7/F7,"")</f>
        <v/>
      </c>
      <c r="S7" s="12">
        <f>IF(AND(ISNUMBER(P7),P7&gt;0),M7/P7,"")</f>
        <v/>
      </c>
      <c r="T7" s="13">
        <f>IF(AND(ISNUMBER(N7),N7&gt;0),O7/N7,"")</f>
        <v/>
      </c>
    </row>
    <row r="8">
      <c r="A8" s="10" t="inlineStr">
        <is>
          <t>Fev/2027</t>
        </is>
      </c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2">
        <f>IF(COUNT(B8:C8)=2,(B8+C8)/2,"")</f>
        <v/>
      </c>
      <c r="Q8" s="13">
        <f>IF(AND(ISNUMBER(P8),P8&gt;0),((D8+E8)/2)/P8,"")</f>
        <v/>
      </c>
      <c r="R8" s="13">
        <f>IF(AND(ISNUMBER(F8),F8&gt;0),G8/F8,"")</f>
        <v/>
      </c>
      <c r="S8" s="12">
        <f>IF(AND(ISNUMBER(P8),P8&gt;0),M8/P8,"")</f>
        <v/>
      </c>
      <c r="T8" s="13">
        <f>IF(AND(ISNUMBER(N8),N8&gt;0),O8/N8,"")</f>
        <v/>
      </c>
    </row>
    <row r="9">
      <c r="A9" s="10" t="inlineStr">
        <is>
          <t>Mar/2027</t>
        </is>
      </c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2">
        <f>IF(COUNT(B9:C9)=2,(B9+C9)/2,"")</f>
        <v/>
      </c>
      <c r="Q9" s="13">
        <f>IF(AND(ISNUMBER(P9),P9&gt;0),((D9+E9)/2)/P9,"")</f>
        <v/>
      </c>
      <c r="R9" s="13">
        <f>IF(AND(ISNUMBER(F9),F9&gt;0),G9/F9,"")</f>
        <v/>
      </c>
      <c r="S9" s="12">
        <f>IF(AND(ISNUMBER(P9),P9&gt;0),M9/P9,"")</f>
        <v/>
      </c>
      <c r="T9" s="13">
        <f>IF(AND(ISNUMBER(N9),N9&gt;0),O9/N9,"")</f>
        <v/>
      </c>
    </row>
    <row r="10">
      <c r="A10" s="10" t="inlineStr">
        <is>
          <t>Abr/2027</t>
        </is>
      </c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2">
        <f>IF(COUNT(B10:C10)=2,(B10+C10)/2,"")</f>
        <v/>
      </c>
      <c r="Q10" s="13">
        <f>IF(AND(ISNUMBER(P10),P10&gt;0),((D10+E10)/2)/P10,"")</f>
        <v/>
      </c>
      <c r="R10" s="13">
        <f>IF(AND(ISNUMBER(F10),F10&gt;0),G10/F10,"")</f>
        <v/>
      </c>
      <c r="S10" s="12">
        <f>IF(AND(ISNUMBER(P10),P10&gt;0),M10/P10,"")</f>
        <v/>
      </c>
      <c r="T10" s="13">
        <f>IF(AND(ISNUMBER(N10),N10&gt;0),O10/N10,"")</f>
        <v/>
      </c>
    </row>
    <row r="11">
      <c r="A11" s="10" t="inlineStr">
        <is>
          <t>Mai/2027</t>
        </is>
      </c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2">
        <f>IF(COUNT(B11:C11)=2,(B11+C11)/2,"")</f>
        <v/>
      </c>
      <c r="Q11" s="13">
        <f>IF(AND(ISNUMBER(P11),P11&gt;0),((D11+E11)/2)/P11,"")</f>
        <v/>
      </c>
      <c r="R11" s="13">
        <f>IF(AND(ISNUMBER(F11),F11&gt;0),G11/F11,"")</f>
        <v/>
      </c>
      <c r="S11" s="12">
        <f>IF(AND(ISNUMBER(P11),P11&gt;0),M11/P11,"")</f>
        <v/>
      </c>
      <c r="T11" s="13">
        <f>IF(AND(ISNUMBER(N11),N11&gt;0),O11/N11,"")</f>
        <v/>
      </c>
    </row>
    <row r="12">
      <c r="A12" s="10" t="inlineStr">
        <is>
          <t>Jun/2027</t>
        </is>
      </c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2">
        <f>IF(COUNT(B12:C12)=2,(B12+C12)/2,"")</f>
        <v/>
      </c>
      <c r="Q12" s="13">
        <f>IF(AND(ISNUMBER(P12),P12&gt;0),((D12+E12)/2)/P12,"")</f>
        <v/>
      </c>
      <c r="R12" s="13">
        <f>IF(AND(ISNUMBER(F12),F12&gt;0),G12/F12,"")</f>
        <v/>
      </c>
      <c r="S12" s="12">
        <f>IF(AND(ISNUMBER(P12),P12&gt;0),M12/P12,"")</f>
        <v/>
      </c>
      <c r="T12" s="13">
        <f>IF(AND(ISNUMBER(N12),N12&gt;0),O12/N12,"")</f>
        <v/>
      </c>
    </row>
    <row r="13">
      <c r="A13" s="10" t="inlineStr">
        <is>
          <t>Jul/2027</t>
        </is>
      </c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2">
        <f>IF(COUNT(B13:C13)=2,(B13+C13)/2,"")</f>
        <v/>
      </c>
      <c r="Q13" s="13">
        <f>IF(AND(ISNUMBER(P13),P13&gt;0),((D13+E13)/2)/P13,"")</f>
        <v/>
      </c>
      <c r="R13" s="13">
        <f>IF(AND(ISNUMBER(F13),F13&gt;0),G13/F13,"")</f>
        <v/>
      </c>
      <c r="S13" s="12">
        <f>IF(AND(ISNUMBER(P13),P13&gt;0),M13/P13,"")</f>
        <v/>
      </c>
      <c r="T13" s="13">
        <f>IF(AND(ISNUMBER(N13),N13&gt;0),O13/N13,"")</f>
        <v/>
      </c>
    </row>
    <row r="14">
      <c r="A14" s="10" t="inlineStr">
        <is>
          <t>Ago/2027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2">
        <f>IF(COUNT(B14:C14)=2,(B14+C14)/2,"")</f>
        <v/>
      </c>
      <c r="Q14" s="13">
        <f>IF(AND(ISNUMBER(P14),P14&gt;0),((D14+E14)/2)/P14,"")</f>
        <v/>
      </c>
      <c r="R14" s="13">
        <f>IF(AND(ISNUMBER(F14),F14&gt;0),G14/F14,"")</f>
        <v/>
      </c>
      <c r="S14" s="12">
        <f>IF(AND(ISNUMBER(P14),P14&gt;0),M14/P14,"")</f>
        <v/>
      </c>
      <c r="T14" s="13">
        <f>IF(AND(ISNUMBER(N14),N14&gt;0),O14/N14,"")</f>
        <v/>
      </c>
    </row>
    <row r="15">
      <c r="A15" s="10" t="inlineStr">
        <is>
          <t>Set/2027</t>
        </is>
      </c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2">
        <f>IF(COUNT(B15:C15)=2,(B15+C15)/2,"")</f>
        <v/>
      </c>
      <c r="Q15" s="13">
        <f>IF(AND(ISNUMBER(P15),P15&gt;0),((D15+E15)/2)/P15,"")</f>
        <v/>
      </c>
      <c r="R15" s="13">
        <f>IF(AND(ISNUMBER(F15),F15&gt;0),G15/F15,"")</f>
        <v/>
      </c>
      <c r="S15" s="12">
        <f>IF(AND(ISNUMBER(P15),P15&gt;0),M15/P15,"")</f>
        <v/>
      </c>
      <c r="T15" s="13">
        <f>IF(AND(ISNUMBER(N15),N15&gt;0),O15/N15,"")</f>
        <v/>
      </c>
    </row>
    <row r="16">
      <c r="A16" s="10" t="inlineStr">
        <is>
          <t>Out/2027</t>
        </is>
      </c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2">
        <f>IF(COUNT(B16:C16)=2,(B16+C16)/2,"")</f>
        <v/>
      </c>
      <c r="Q16" s="13">
        <f>IF(AND(ISNUMBER(P16),P16&gt;0),((D16+E16)/2)/P16,"")</f>
        <v/>
      </c>
      <c r="R16" s="13">
        <f>IF(AND(ISNUMBER(F16),F16&gt;0),G16/F16,"")</f>
        <v/>
      </c>
      <c r="S16" s="12">
        <f>IF(AND(ISNUMBER(P16),P16&gt;0),M16/P16,"")</f>
        <v/>
      </c>
      <c r="T16" s="13">
        <f>IF(AND(ISNUMBER(N16),N16&gt;0),O16/N16,"")</f>
        <v/>
      </c>
    </row>
    <row r="17">
      <c r="A17" s="14" t="inlineStr">
        <is>
          <t>Total / Média 12m</t>
        </is>
      </c>
      <c r="B17" s="14">
        <f>IF(COUNT(B5:B16)=0,"",AVERAGE(B5:B16))</f>
        <v/>
      </c>
      <c r="C17" s="14">
        <f>IF(COUNT(C5:C16)=0,"",AVERAGE(C5:C16))</f>
        <v/>
      </c>
      <c r="D17" s="14">
        <f>SUM(D5:D16)</f>
        <v/>
      </c>
      <c r="E17" s="14">
        <f>SUM(E5:E16)</f>
        <v/>
      </c>
      <c r="F17" s="14">
        <f>SUM(F5:F16)</f>
        <v/>
      </c>
      <c r="G17" s="14">
        <f>SUM(G5:G16)</f>
        <v/>
      </c>
      <c r="H17" s="14">
        <f>SUM(H5:H16)</f>
        <v/>
      </c>
      <c r="I17" s="14">
        <f>SUM(I5:I16)</f>
        <v/>
      </c>
      <c r="J17" s="14">
        <f>SUM(J5:J16)</f>
        <v/>
      </c>
      <c r="K17" s="14">
        <f>SUM(K5:K16)</f>
        <v/>
      </c>
      <c r="L17" s="14">
        <f>SUM(L5:L16)</f>
        <v/>
      </c>
      <c r="M17" s="14">
        <f>SUM(M5:M16)</f>
        <v/>
      </c>
      <c r="N17" s="14">
        <f>SUM(N5:N16)</f>
        <v/>
      </c>
      <c r="O17" s="14">
        <f>SUM(O5:O16)</f>
        <v/>
      </c>
      <c r="P17" s="15">
        <f>IF(COUNT(P5:P16)=0,"",AVERAGE(P5:P16))</f>
        <v/>
      </c>
      <c r="Q17" s="16">
        <f>IF(AND(ISNUMBER(P17),P17&gt;0),((D17+E17)/2)/P17,"")</f>
        <v/>
      </c>
      <c r="R17" s="16">
        <f>IF(F17&gt;0,G17/F17,"")</f>
        <v/>
      </c>
      <c r="S17" s="15">
        <f>IF(AND(ISNUMBER(P17),P17&gt;0),M17/P17,"")</f>
        <v/>
      </c>
      <c r="T17" s="16">
        <f>IF(N17&gt;0,O17/N17,"")</f>
        <v/>
      </c>
    </row>
    <row r="19">
      <c r="A19" s="17" t="inlineStr">
        <is>
          <t>COMO LER OS INDICADORES</t>
        </is>
      </c>
    </row>
    <row r="20">
      <c r="A20" s="18" t="inlineStr">
        <is>
          <t>Turnover % (mensal) = ((Admissões + Desligamentos) ÷ 2) ÷ Efetivo médio. Mede a rotatividade; alta rotatividade sinaliza insegurança, sobrecarga ou problema de liderança.</t>
        </is>
      </c>
    </row>
    <row r="21">
      <c r="A21" s="18" t="inlineStr">
        <is>
          <t>Absenteísmo % = Horas de ausência ÷ Horas previstas. Inclui faltas e atestados; acompanhar também a quantidade de atestados CID F (saúde mental) e CID M (dores/lesões).</t>
        </is>
      </c>
    </row>
    <row r="22">
      <c r="A22" s="18" t="inlineStr">
        <is>
          <t>Afastamentos &gt;15 dias e CATs: qualquer ocorrência deve ser analisada (causa, setor, relação com risco do PGR) e registrada no plano de ação.</t>
        </is>
      </c>
    </row>
    <row r="23">
      <c r="A23" s="18" t="inlineStr">
        <is>
          <t>Metas: usar Nov/2026 a Jan/2027 como linha de base; a partir de Fev/2027 definir meta de redução para cada indicador e comparar trimestralmente.</t>
        </is>
      </c>
    </row>
    <row r="24">
      <c r="A24" s="18" t="inlineStr">
        <is>
          <t>Com 14 trabalhadores, 1 desligamento já representa ~7% de turnover no mês — analisar sempre o número absoluto junto com o percentual.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2026-10-02T16:53:21Z</dcterms:created>
  <dcterms:modified xmlns:dcterms="http://purl.org/dc/terms/" xmlns:xsi="http://www.w3.org/2001/XMLSchema-instance" xsi:type="dcterms:W3CDTF">2026-10-02T16:56:04Z</dcterms:modified>
</cp:coreProperties>
</file>